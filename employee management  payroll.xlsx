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utomated Employee Management S" sheetId="1" r:id="rId1"/>
  </sheets>
  <definedNames>
    <definedName name="_xlnm.Extract" localSheetId="0">'Automated Employee Management S'!$B$5:$G$5</definedName>
    <definedName name="HR">'Automated Employee Management S'!$K$22:$K$24</definedName>
    <definedName name="IT">'Automated Employee Management S'!$L$22:$L$24</definedName>
    <definedName name="SALES">'Automated Employee Management S'!$M$22:$M$24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<sst xmlns="http://schemas.openxmlformats.org/spreadsheetml/2006/main" count="329" uniqueCount="114">
  <si>
    <t>Emp ID</t>
  </si>
  <si>
    <t>Employee Name</t>
  </si>
  <si>
    <t>Department</t>
  </si>
  <si>
    <t xml:space="preserve">DESIGNATION </t>
  </si>
  <si>
    <t>Monthly Salary</t>
  </si>
  <si>
    <t>Days Worked</t>
  </si>
  <si>
    <t>ACTUAL SALARY</t>
  </si>
  <si>
    <t>BONUS</t>
  </si>
  <si>
    <t>TOTAL PAY OUT</t>
  </si>
  <si>
    <t>AMIT SHARMA</t>
  </si>
  <si>
    <t>HR</t>
  </si>
  <si>
    <t>Recruiter</t>
  </si>
  <si>
    <t>Department (Key)</t>
  </si>
  <si>
    <t>PRIYA DAS</t>
  </si>
  <si>
    <t>IT</t>
  </si>
  <si>
    <t>Support</t>
  </si>
  <si>
    <t>RAHUL VERMA</t>
  </si>
  <si>
    <t>Sales</t>
  </si>
  <si>
    <t>Manager</t>
  </si>
  <si>
    <t>SNEHA REDDY</t>
  </si>
  <si>
    <t>Trainer</t>
  </si>
  <si>
    <t>VIKRAM SINGH</t>
  </si>
  <si>
    <t>Developer</t>
  </si>
  <si>
    <t>ANJALI GUPTA</t>
  </si>
  <si>
    <t>Executive</t>
  </si>
  <si>
    <t>A.SWARNALAXMI PATRA</t>
  </si>
  <si>
    <t>ABHIJIT MAITY</t>
  </si>
  <si>
    <t>ABHINAB SUKLA</t>
  </si>
  <si>
    <t>Field Agent</t>
  </si>
  <si>
    <t>ABHIPSA PATTANAIK</t>
  </si>
  <si>
    <t xml:space="preserve">ENTER EMPLOYEE ID </t>
  </si>
  <si>
    <t>ABISMRUTA KAR</t>
  </si>
  <si>
    <t>ADITI DUBEY</t>
  </si>
  <si>
    <t>ADITYA RAGHUBANSHI JENA</t>
  </si>
  <si>
    <t>AISWARYA KANTA SABYASACHI</t>
  </si>
  <si>
    <t>AKANKSHYA PATTNAIK</t>
  </si>
  <si>
    <t>AKANSHA KUMARI</t>
  </si>
  <si>
    <t>ANMOL SINGH</t>
  </si>
  <si>
    <t>ARADHANA DASH</t>
  </si>
  <si>
    <t>ARPITA PANDA</t>
  </si>
  <si>
    <t>ARPITA PANI</t>
  </si>
  <si>
    <t>ARPITA SHEKHAR</t>
  </si>
  <si>
    <t>ASHIS PRASAD SWAIN</t>
  </si>
  <si>
    <t>Analyst</t>
  </si>
  <si>
    <t>ASHMINITA BALIARSINGH</t>
  </si>
  <si>
    <t>AYUSH LENKA</t>
  </si>
  <si>
    <t>AYUSHI MOHANTY</t>
  </si>
  <si>
    <t>BANSHITA SEN</t>
  </si>
  <si>
    <t>BISWAJEET MALLIK</t>
  </si>
  <si>
    <t>BISWANATH PATNAIK</t>
  </si>
  <si>
    <t>DEEPAK SAHOO</t>
  </si>
  <si>
    <t>HARAPRIYA SWAIN</t>
  </si>
  <si>
    <t>JYOSNA RANI SAHOO</t>
  </si>
  <si>
    <t>KAUSIK KUMAR SAHOO</t>
  </si>
  <si>
    <t>KOUSIK DAS</t>
  </si>
  <si>
    <t>M ARJIT</t>
  </si>
  <si>
    <t>MANASWINI MOHAPATRA</t>
  </si>
  <si>
    <t>MANISH GUPTA</t>
  </si>
  <si>
    <t>MIRZA FARAZ BAIG</t>
  </si>
  <si>
    <t>MOHIT PRASAD MOHANTY</t>
  </si>
  <si>
    <t>P.M.RAJKUMAR</t>
  </si>
  <si>
    <t>PIYUSH PRIYADARSHI</t>
  </si>
  <si>
    <t>POOJA PRAGATIKA SATPATHY</t>
  </si>
  <si>
    <t>PRANAY MISHRA</t>
  </si>
  <si>
    <t>PRATHANA RAY</t>
  </si>
  <si>
    <t>PRITI MANDAL</t>
  </si>
  <si>
    <t>RAJ NANDANI</t>
  </si>
  <si>
    <t>RAJBIR DEB MISHRA</t>
  </si>
  <si>
    <t>RITUNANDA GIRI</t>
  </si>
  <si>
    <t>SACHIDANANDA DAS</t>
  </si>
  <si>
    <t>SAILESH SARANGI</t>
  </si>
  <si>
    <t>SANTOSH RAJ CHOUDHARY</t>
  </si>
  <si>
    <t>SHRUTI PRAGYAN MOHANTY</t>
  </si>
  <si>
    <t>SIDHARTHA SEKHAR SAHOO</t>
  </si>
  <si>
    <t>SMRUTI SUDHA MISHRA</t>
  </si>
  <si>
    <t>SNEHASISH ACHARYA</t>
  </si>
  <si>
    <t>SOURAV KUMAR DASH</t>
  </si>
  <si>
    <t>SUBHAM KUMAR DAS</t>
  </si>
  <si>
    <t>SUBHAM KUMAR PANI</t>
  </si>
  <si>
    <t>SUBHRANSHU SAHU</t>
  </si>
  <si>
    <t>SUCHISMITA DAS</t>
  </si>
  <si>
    <t>SUCHISMITA PANDA</t>
  </si>
  <si>
    <t>SUDHANSU BEHERA</t>
  </si>
  <si>
    <t>SUNIDHI PANIGRAHI</t>
  </si>
  <si>
    <t>SUPRIYA KUMARI</t>
  </si>
  <si>
    <t>SUPRIYA SAHOO</t>
  </si>
  <si>
    <t>SURBHI SASWATI MOHANTY</t>
  </si>
  <si>
    <t>SWAGAT PATEL</t>
  </si>
  <si>
    <t>SWETALANA PARIDA</t>
  </si>
  <si>
    <t>TANUSHREE TRIPATHY</t>
  </si>
  <si>
    <t>ABHIGYAN PRUSTY</t>
  </si>
  <si>
    <t>ABHILASH PANDA</t>
  </si>
  <si>
    <t>ABHINAB PRADHAN</t>
  </si>
  <si>
    <t>ABHISEK DHALL</t>
  </si>
  <si>
    <t>ABHISHEK NAYAK</t>
  </si>
  <si>
    <t>ABINASH PANDA</t>
  </si>
  <si>
    <t>ADITI DASH</t>
  </si>
  <si>
    <t>ADITYA ABHISEKA</t>
  </si>
  <si>
    <t>ADYASHA PATTANAYAK</t>
  </si>
  <si>
    <t>AKANKSHA BARIK</t>
  </si>
  <si>
    <t>AKANKSHYA HOTA</t>
  </si>
  <si>
    <t>AKASH KUMAR</t>
  </si>
  <si>
    <t>AKSHAT KHIRWAL</t>
  </si>
  <si>
    <t>ALISHA SINGH</t>
  </si>
  <si>
    <t>ALOK RAJ MAHTO</t>
  </si>
  <si>
    <t>AMAN KUMAR</t>
  </si>
  <si>
    <t>AMAN KUMAR MISHRA</t>
  </si>
  <si>
    <t>AMARJEET SAHOO</t>
  </si>
  <si>
    <t>AMARJYOTI SENAPATI</t>
  </si>
  <si>
    <t>AMIT KUMAR SAHOO</t>
  </si>
  <si>
    <t>AMLAN BARAL</t>
  </si>
  <si>
    <t>AMRIT KUMAR</t>
  </si>
  <si>
    <t>ANIMESH SAHOO</t>
  </si>
  <si>
    <t>HASINA FATIMA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</si>
</sst>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Aptos Narrow"/>
      <charset val="134"/>
      <scheme val="minor"/>
    </font>
    <font>
      <b/>
      <sz val="11"/>
      <color theme="0"/>
      <name val="Arial"/>
      <charset val="134"/>
    </font>
    <font>
      <sz val="11"/>
      <color rgb="FF1F1F1F"/>
      <name val="Arial"/>
      <charset val="134"/>
    </font>
    <font>
      <b/>
      <sz val="11"/>
      <color rgb="FF1F1F1F"/>
      <name val="Arial"/>
      <charset val="134"/>
    </font>
    <font>
      <sz val="11"/>
      <color theme="1"/>
      <name val="Arial"/>
      <charset val="134"/>
    </font>
    <font>
      <sz val="18"/>
      <color theme="1"/>
      <name val="Aptos Narrow"/>
      <charset val="134"/>
      <scheme val="minor"/>
    </font>
    <font>
      <sz val="20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b/>
      <sz val="16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9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1" fontId="2" fillId="0" borderId="4" xfId="0" applyNumberFormat="1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center" vertical="center" wrapText="1" readingOrder="1"/>
    </xf>
    <xf numFmtId="0" fontId="0" fillId="0" borderId="4" xfId="0" applyBorder="1" applyAlignment="1">
      <alignment horizontal="center"/>
    </xf>
    <xf numFmtId="1" fontId="2" fillId="0" borderId="4" xfId="0" applyNumberFormat="1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right" vertical="center" wrapText="1" indent="1" readingOrder="1"/>
    </xf>
    <xf numFmtId="0" fontId="2" fillId="0" borderId="5" xfId="0" applyFont="1" applyBorder="1" applyAlignment="1">
      <alignment horizontal="right" vertical="center" wrapText="1" indent="1" readingOrder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right" vertical="center" wrapText="1" indent="1" readingOrder="1"/>
    </xf>
    <xf numFmtId="0" fontId="2" fillId="0" borderId="8" xfId="0" applyFont="1" applyBorder="1" applyAlignment="1">
      <alignment horizontal="right" vertical="center" wrapText="1" indent="1" readingOrder="1"/>
    </xf>
    <xf numFmtId="0" fontId="7" fillId="4" borderId="9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name val="Arial"/>
        <scheme val="none"/>
        <family val="2"/>
        <b val="0"/>
        <i val="0"/>
        <strike val="0"/>
        <u val="none"/>
        <sz val="11"/>
        <color rgb="FF1F1F1F"/>
      </font>
      <numFmt numFmtId="1" formatCode="0"/>
      <alignment horizontal="left" vertical="center" wrapText="1" indent="1" readingOrder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1"/>
        <color rgb="FF1F1F1F"/>
      </font>
      <alignment horizontal="center" vertical="center" wrapText="1" readingOrder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1"/>
        <color rgb="FF1F1F1F"/>
      </font>
      <numFmt numFmtId="1" formatCode="0"/>
      <alignment horizontal="center" vertical="center" wrapText="1" readingOrder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1"/>
        <color theme="1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scheme val="none"/>
        <family val="2"/>
        <b val="0"/>
        <i val="0"/>
        <strike val="0"/>
        <u val="none"/>
        <sz val="18"/>
        <color theme="1"/>
      </font>
      <fill>
        <patternFill patternType="solid">
          <bgColor theme="3" tint="0.499984740745262"/>
        </patternFill>
      </fill>
      <alignment horizontal="center" vertical="center"/>
    </dxf>
    <dxf>
      <font>
        <name val="Aptos Narrow"/>
        <scheme val="none"/>
        <family val="2"/>
        <b val="0"/>
        <i val="0"/>
        <strike val="0"/>
        <u val="none"/>
        <sz val="18"/>
        <color theme="1"/>
      </font>
      <fill>
        <patternFill patternType="solid">
          <bgColor rgb="FFFFFF00"/>
        </patternFill>
      </fill>
      <alignment horizontal="center" vertical="center"/>
      <border>
        <left style="medium">
          <color auto="1"/>
        </left>
        <right style="medium">
          <color auto="1"/>
        </right>
        <top/>
        <bottom/>
      </border>
    </dxf>
    <dxf>
      <font>
        <name val="Aptos Narrow"/>
        <scheme val="none"/>
        <family val="2"/>
        <b val="0"/>
        <i val="0"/>
        <strike val="0"/>
        <u val="none"/>
        <sz val="18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Aptos Narrow"/>
        <scheme val="none"/>
        <family val="2"/>
        <b val="0"/>
        <i val="0"/>
        <strike val="0"/>
        <u val="none"/>
        <sz val="18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Aptos Narrow"/>
        <scheme val="none"/>
        <family val="2"/>
        <strike val="0"/>
        <u val="none"/>
        <sz val="20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Aptos Narrow"/>
        <scheme val="none"/>
        <family val="2"/>
        <strike val="0"/>
        <u val="none"/>
        <sz val="20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Aptos Narrow"/>
        <scheme val="none"/>
        <family val="2"/>
        <strike val="0"/>
        <u val="none"/>
        <sz val="20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Aptos Narrow"/>
        <scheme val="none"/>
        <family val="2"/>
        <strike val="0"/>
        <u val="none"/>
        <sz val="20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Aptos Narrow"/>
        <scheme val="none"/>
        <family val="2"/>
        <strike val="0"/>
        <u val="none"/>
        <sz val="20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Aptos Narrow"/>
        <scheme val="none"/>
        <family val="2"/>
        <strike val="0"/>
        <u val="none"/>
        <sz val="20"/>
        <color theme="1"/>
      </font>
      <fill>
        <patternFill patternType="solid">
          <bgColor rgb="FFFFFF00"/>
        </patternFill>
      </fill>
      <alignment horizontal="center" vertical="center"/>
    </dxf>
    <dxf>
      <fill>
        <patternFill patternType="solid">
          <bgColor rgb="FFFF0000"/>
        </patternFill>
      </fill>
    </dxf>
    <dxf>
      <fill>
        <patternFill patternType="solid">
          <bgColor theme="6" tint="0.39994506668294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</dxfs>
  <tableStyles count="1" defaultTableStyle="TableStyleMedium2" defaultPivotStyle="PivotStyleLight16">
    <tableStyle name="Table Style 1" pivot="0" count="0" xr9:uid="{0FA20E88-C73B-4CCE-AED4-883CA610C03E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B2:J102" totalsRowShown="0">
  <autoFilter xmlns:etc="http://www.wps.cn/officeDocument/2017/etCustomData" ref="B2:J102" etc:filterBottomFollowUsedRange="0"/>
  <tableColumns count="9">
    <tableColumn id="1" name="Emp ID" dataDxfId="0"/>
    <tableColumn id="2" name="Employee Name" dataDxfId="1"/>
    <tableColumn id="3" name="Department" dataDxfId="2"/>
    <tableColumn id="4" name="DESIGNATION " dataDxfId="3"/>
    <tableColumn id="5" name="Monthly Salary" dataDxfId="4">
      <calculatedColumnFormula>VLOOKUP(D3,$M$3:$N$6,2,0)</calculatedColumnFormula>
    </tableColumn>
    <tableColumn id="6" name="Days Worked" dataDxfId="5"/>
    <tableColumn id="7" name="ACTUAL SALARY" dataDxfId="6">
      <calculatedColumnFormula>ROUND(Table1[[#This Row],[Monthly Salary]]/30*Table1[[#This Row],[Days Worked]],0)</calculatedColumnFormula>
    </tableColumn>
    <tableColumn id="8" name="BONUS" dataDxfId="7">
      <calculatedColumnFormula>IF(AND(Table1[[#This Row],[Monthly Salary]]&gt;18000,Table1[[#This Row],[Days Worked]]&gt;25),ROUND(Table1[[#This Row],[ACTUAL SALARY]]*5%,0),0)</calculatedColumnFormula>
    </tableColumn>
    <tableColumn id="9" name="TOTAL PAY OUT" dataDxfId="8">
      <calculatedColumnFormula>ROUND(Table1[[#This Row],[ACTUAL SALARY]]+Table1[[#This Row],[BONUS]],0)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M12:V12" headerRowCount="0" totalsRowShown="0">
  <tableColumns count="10">
    <tableColumn id="1" name="Column1" dataDxfId="9"/>
    <tableColumn id="2" name="Column2" dataDxfId="10"/>
    <tableColumn id="3" name="Column3" dataDxfId="11">
      <calculatedColumnFormula>VLOOKUP(N12,Table1[],2,0)</calculatedColumnFormula>
    </tableColumn>
    <tableColumn id="4" name="Column4" dataDxfId="12">
      <calculatedColumnFormula>VLOOKUP(N12,Table1[],3,0)</calculatedColumnFormula>
    </tableColumn>
    <tableColumn id="5" name="Column5" dataDxfId="13">
      <calculatedColumnFormula>VLOOKUP(N12,Table1[],4,0)</calculatedColumnFormula>
    </tableColumn>
    <tableColumn id="6" name="Column6" dataDxfId="14">
      <calculatedColumnFormula>VLOOKUP(N12,Table1[],5,TRUE)</calculatedColumnFormula>
    </tableColumn>
    <tableColumn id="7" name="Column7" dataDxfId="15">
      <calculatedColumnFormula>VLOOKUP(N12,B3:J103,6,0)</calculatedColumnFormula>
    </tableColumn>
    <tableColumn id="8" name="Column8" dataDxfId="16">
      <calculatedColumnFormula array="1">VLOOKUP(Table2[[#All],[Column2]],Table1[],7,0)</calculatedColumnFormula>
    </tableColumn>
    <tableColumn id="9" name="Column9" dataDxfId="17">
      <calculatedColumnFormula array="1">VLOOKUP(Table2[[#All],[Column2]],Table1[],8,0)</calculatedColumnFormula>
    </tableColumn>
    <tableColumn id="10" name="Column10" dataDxfId="18">
      <calculatedColumnFormula array="1">VLOOKUP(Table2[[#All],[Column2]],Table1[],9,0)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V118"/>
  <sheetViews>
    <sheetView tabSelected="1" zoomScale="82" zoomScaleNormal="82" topLeftCell="C59" workbookViewId="0">
      <selection activeCell="E98" sqref="E98"/>
    </sheetView>
  </sheetViews>
  <sheetFormatPr defaultColWidth="9" defaultRowHeight="14.4"/>
  <cols>
    <col min="2" max="2" width="17.3333333333333" customWidth="1"/>
    <col min="3" max="3" width="74" customWidth="1"/>
    <col min="4" max="5" width="24.6666666666667" style="1" customWidth="1"/>
    <col min="6" max="6" width="26.5555555555556" style="1" customWidth="1"/>
    <col min="7" max="7" width="23" style="1" customWidth="1"/>
    <col min="8" max="8" width="46.3333333333333" style="1" customWidth="1"/>
    <col min="9" max="9" width="29.6666666666667" customWidth="1"/>
    <col min="10" max="10" width="38.1111111111111" customWidth="1"/>
    <col min="11" max="11" width="26.6666666666667" customWidth="1"/>
    <col min="12" max="12" width="14.3333333333333" customWidth="1"/>
    <col min="13" max="13" width="28.6666666666667" customWidth="1"/>
    <col min="14" max="14" width="14.2222222222222" customWidth="1"/>
    <col min="15" max="15" width="37.2222222222222" customWidth="1"/>
    <col min="16" max="16" width="17.2222222222222" customWidth="1"/>
    <col min="17" max="17" width="19.1111111111111" customWidth="1"/>
    <col min="18" max="18" width="17.1111111111111" customWidth="1"/>
    <col min="19" max="19" width="13.7777777777778" customWidth="1"/>
    <col min="20" max="20" width="16.8888888888889" customWidth="1"/>
    <col min="22" max="22" width="44.4444444444444" customWidth="1"/>
  </cols>
  <sheetData>
    <row r="2" ht="15.15" spans="2:22">
      <c r="B2" s="2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4" t="s">
        <v>6</v>
      </c>
      <c r="I2" s="4" t="s">
        <v>7</v>
      </c>
      <c r="J2" s="4" t="s">
        <v>8</v>
      </c>
    </row>
    <row r="3" ht="15" customHeight="1" spans="2:22">
      <c r="B3" s="6">
        <v>1</v>
      </c>
      <c r="C3" s="7" t="s">
        <v>9</v>
      </c>
      <c r="D3" s="8" t="s">
        <v>10</v>
      </c>
      <c r="E3" s="7" t="s">
        <v>11</v>
      </c>
      <c r="F3" s="9">
        <f>VLOOKUP(D3,$M$3:$N$6,2,0)</f>
        <v>25000</v>
      </c>
      <c r="G3" s="7">
        <v>26</v>
      </c>
      <c r="H3" s="8">
        <f>ROUND(Table1[[#This Row],[Monthly Salary]]/30*Table1[[#This Row],[Days Worked]],0)</f>
        <v>21667</v>
      </c>
      <c r="I3" s="8">
        <f>IF(AND(Table1[[#This Row],[Monthly Salary]]&gt;18000,Table1[[#This Row],[Days Worked]]&gt;25),ROUND(Table1[[#This Row],[ACTUAL SALARY]]*5%,0),0)</f>
        <v>1083</v>
      </c>
      <c r="J3" s="8">
        <f>ROUND(Table1[[#This Row],[ACTUAL SALARY]]+Table1[[#This Row],[BONUS]],0)</f>
        <v>22750</v>
      </c>
      <c r="M3" s="10" t="s">
        <v>12</v>
      </c>
      <c r="N3" s="10" t="s">
        <v>4</v>
      </c>
    </row>
    <row r="4" ht="15.15" spans="2:22">
      <c r="B4" s="6">
        <v>2</v>
      </c>
      <c r="C4" s="7" t="s">
        <v>13</v>
      </c>
      <c r="D4" s="8" t="s">
        <v>14</v>
      </c>
      <c r="E4" s="7" t="s">
        <v>15</v>
      </c>
      <c r="F4" s="9">
        <f t="shared" ref="F4:F67" si="0">VLOOKUP(D4,$M$3:$N$6,2,0)</f>
        <v>35000</v>
      </c>
      <c r="G4" s="7">
        <v>24</v>
      </c>
      <c r="H4" s="8">
        <f>ROUND(Table1[[#This Row],[Monthly Salary]]/30*Table1[[#This Row],[Days Worked]],0)</f>
        <v>28000</v>
      </c>
      <c r="I4" s="8">
        <f>IF(AND(Table1[[#This Row],[Monthly Salary]]&gt;18000,Table1[[#This Row],[Days Worked]]&gt;25),ROUND(Table1[[#This Row],[ACTUAL SALARY]]*5%,0),0)</f>
        <v>0</v>
      </c>
      <c r="J4" s="8">
        <f>ROUND(Table1[[#This Row],[ACTUAL SALARY]]+Table1[[#This Row],[BONUS]],0)</f>
        <v>28000</v>
      </c>
      <c r="M4" s="11" t="s">
        <v>10</v>
      </c>
      <c r="N4" s="11">
        <v>25000</v>
      </c>
    </row>
    <row r="5" ht="15.15" spans="2:22">
      <c r="B5" s="6">
        <v>3</v>
      </c>
      <c r="C5" s="7" t="s">
        <v>16</v>
      </c>
      <c r="D5" s="8" t="s">
        <v>17</v>
      </c>
      <c r="E5" s="7" t="s">
        <v>18</v>
      </c>
      <c r="F5" s="9">
        <f t="shared" si="0"/>
        <v>18000</v>
      </c>
      <c r="G5" s="7">
        <v>22</v>
      </c>
      <c r="H5" s="8">
        <f>ROUND(Table1[[#This Row],[Monthly Salary]]/30*Table1[[#This Row],[Days Worked]],0)</f>
        <v>13200</v>
      </c>
      <c r="I5" s="8">
        <f>IF(AND(Table1[[#This Row],[Monthly Salary]]&gt;18000,Table1[[#This Row],[Days Worked]]&gt;25),ROUND(Table1[[#This Row],[ACTUAL SALARY]]*5%,0),0)</f>
        <v>0</v>
      </c>
      <c r="J5" s="8">
        <f>ROUND(Table1[[#This Row],[ACTUAL SALARY]]+Table1[[#This Row],[BONUS]],0)</f>
        <v>13200</v>
      </c>
      <c r="M5" s="11" t="s">
        <v>14</v>
      </c>
      <c r="N5" s="11">
        <v>35000</v>
      </c>
    </row>
    <row r="6" ht="15.15" spans="2:22">
      <c r="B6" s="6">
        <v>4</v>
      </c>
      <c r="C6" s="7" t="s">
        <v>19</v>
      </c>
      <c r="D6" s="8" t="s">
        <v>10</v>
      </c>
      <c r="E6" s="7" t="s">
        <v>20</v>
      </c>
      <c r="F6" s="9">
        <f t="shared" si="0"/>
        <v>25000</v>
      </c>
      <c r="G6" s="7">
        <v>27</v>
      </c>
      <c r="H6" s="8">
        <f>ROUND(Table1[[#This Row],[Monthly Salary]]/30*Table1[[#This Row],[Days Worked]],0)</f>
        <v>22500</v>
      </c>
      <c r="I6" s="8">
        <f>IF(AND(Table1[[#This Row],[Monthly Salary]]&gt;18000,Table1[[#This Row],[Days Worked]]&gt;25),ROUND(Table1[[#This Row],[ACTUAL SALARY]]*5%,0),0)</f>
        <v>1125</v>
      </c>
      <c r="J6" s="8">
        <f>ROUND(Table1[[#This Row],[ACTUAL SALARY]]+Table1[[#This Row],[BONUS]],0)</f>
        <v>23625</v>
      </c>
      <c r="M6" s="11" t="s">
        <v>17</v>
      </c>
      <c r="N6" s="11">
        <v>18000</v>
      </c>
    </row>
    <row r="7" spans="2:22">
      <c r="B7" s="6">
        <v>5</v>
      </c>
      <c r="C7" s="7" t="s">
        <v>21</v>
      </c>
      <c r="D7" s="8" t="s">
        <v>14</v>
      </c>
      <c r="E7" s="7" t="s">
        <v>22</v>
      </c>
      <c r="F7" s="9">
        <f t="shared" si="0"/>
        <v>35000</v>
      </c>
      <c r="G7" s="7">
        <v>25</v>
      </c>
      <c r="H7" s="8">
        <f>ROUND(Table1[[#This Row],[Monthly Salary]]/30*Table1[[#This Row],[Days Worked]],0)</f>
        <v>29167</v>
      </c>
      <c r="I7" s="8">
        <f>IF(AND(Table1[[#This Row],[Monthly Salary]]&gt;18000,Table1[[#This Row],[Days Worked]]&gt;25),ROUND(Table1[[#This Row],[ACTUAL SALARY]]*5%,0),0)</f>
        <v>0</v>
      </c>
      <c r="J7" s="8">
        <f>ROUND(Table1[[#This Row],[ACTUAL SALARY]]+Table1[[#This Row],[BONUS]],0)</f>
        <v>29167</v>
      </c>
    </row>
    <row r="8" spans="2:22">
      <c r="B8" s="6">
        <v>6</v>
      </c>
      <c r="C8" s="7" t="s">
        <v>23</v>
      </c>
      <c r="D8" s="8" t="s">
        <v>17</v>
      </c>
      <c r="E8" s="7" t="s">
        <v>24</v>
      </c>
      <c r="F8" s="9">
        <f t="shared" si="0"/>
        <v>18000</v>
      </c>
      <c r="G8" s="7">
        <v>23</v>
      </c>
      <c r="H8" s="8">
        <f>ROUND(Table1[[#This Row],[Monthly Salary]]/30*Table1[[#This Row],[Days Worked]],0)</f>
        <v>13800</v>
      </c>
      <c r="I8" s="8">
        <f>IF(AND(Table1[[#This Row],[Monthly Salary]]&gt;18000,Table1[[#This Row],[Days Worked]]&gt;25),ROUND(Table1[[#This Row],[ACTUAL SALARY]]*5%,0),0)</f>
        <v>0</v>
      </c>
      <c r="J8" s="8">
        <f>ROUND(Table1[[#This Row],[ACTUAL SALARY]]+Table1[[#This Row],[BONUS]],0)</f>
        <v>13800</v>
      </c>
    </row>
    <row r="9" spans="2:22">
      <c r="B9" s="6">
        <v>7</v>
      </c>
      <c r="C9" s="12" t="s">
        <v>25</v>
      </c>
      <c r="D9" s="8" t="s">
        <v>10</v>
      </c>
      <c r="E9" s="7" t="s">
        <v>18</v>
      </c>
      <c r="F9" s="9">
        <f t="shared" si="0"/>
        <v>25000</v>
      </c>
      <c r="G9" s="13">
        <v>20</v>
      </c>
      <c r="H9" s="8">
        <f>ROUND(Table1[[#This Row],[Monthly Salary]]/30*Table1[[#This Row],[Days Worked]],0)</f>
        <v>16667</v>
      </c>
      <c r="I9" s="8">
        <f>IF(AND(Table1[[#This Row],[Monthly Salary]]&gt;18000,Table1[[#This Row],[Days Worked]]&gt;25),ROUND(Table1[[#This Row],[ACTUAL SALARY]]*5%,0),0)</f>
        <v>0</v>
      </c>
      <c r="J9" s="8">
        <f>ROUND(Table1[[#This Row],[ACTUAL SALARY]]+Table1[[#This Row],[BONUS]],0)</f>
        <v>16667</v>
      </c>
    </row>
    <row r="10" spans="2:22">
      <c r="B10" s="6">
        <v>8</v>
      </c>
      <c r="C10" s="12" t="s">
        <v>26</v>
      </c>
      <c r="D10" s="8" t="s">
        <v>10</v>
      </c>
      <c r="E10" s="7" t="s">
        <v>20</v>
      </c>
      <c r="F10" s="9">
        <f t="shared" si="0"/>
        <v>25000</v>
      </c>
      <c r="G10" s="13">
        <v>24</v>
      </c>
      <c r="H10" s="8">
        <f>ROUND(Table1[[#This Row],[Monthly Salary]]/30*Table1[[#This Row],[Days Worked]],0)</f>
        <v>20000</v>
      </c>
      <c r="I10" s="8">
        <f>IF(AND(Table1[[#This Row],[Monthly Salary]]&gt;18000,Table1[[#This Row],[Days Worked]]&gt;25),ROUND(Table1[[#This Row],[ACTUAL SALARY]]*5%,0),0)</f>
        <v>0</v>
      </c>
      <c r="J10" s="8">
        <f>ROUND(Table1[[#This Row],[ACTUAL SALARY]]+Table1[[#This Row],[BONUS]],0)</f>
        <v>20000</v>
      </c>
    </row>
    <row r="11" ht="15.15" spans="2:22">
      <c r="B11" s="6">
        <v>9</v>
      </c>
      <c r="C11" s="12" t="s">
        <v>27</v>
      </c>
      <c r="D11" s="8" t="s">
        <v>17</v>
      </c>
      <c r="E11" s="7" t="s">
        <v>28</v>
      </c>
      <c r="F11" s="9">
        <f t="shared" si="0"/>
        <v>18000</v>
      </c>
      <c r="G11" s="13">
        <v>18</v>
      </c>
      <c r="H11" s="8">
        <f>ROUND(Table1[[#This Row],[Monthly Salary]]/30*Table1[[#This Row],[Days Worked]],0)</f>
        <v>10800</v>
      </c>
      <c r="I11" s="8">
        <f>IF(AND(Table1[[#This Row],[Monthly Salary]]&gt;18000,Table1[[#This Row],[Days Worked]]&gt;25),ROUND(Table1[[#This Row],[ACTUAL SALARY]]*5%,0),0)</f>
        <v>0</v>
      </c>
      <c r="J11" s="8">
        <f>ROUND(Table1[[#This Row],[ACTUAL SALARY]]+Table1[[#This Row],[BONUS]],0)</f>
        <v>10800</v>
      </c>
    </row>
    <row r="12" ht="18" customHeight="1" spans="2:22">
      <c r="B12" s="6">
        <v>10</v>
      </c>
      <c r="C12" s="12" t="s">
        <v>29</v>
      </c>
      <c r="D12" s="8" t="s">
        <v>10</v>
      </c>
      <c r="E12" s="7" t="s">
        <v>11</v>
      </c>
      <c r="F12" s="9">
        <f t="shared" si="0"/>
        <v>25000</v>
      </c>
      <c r="G12" s="13">
        <v>17</v>
      </c>
      <c r="H12" s="8">
        <f>ROUND(Table1[[#This Row],[Monthly Salary]]/30*Table1[[#This Row],[Days Worked]],0)</f>
        <v>14167</v>
      </c>
      <c r="I12" s="8">
        <f>IF(AND(Table1[[#This Row],[Monthly Salary]]&gt;18000,Table1[[#This Row],[Days Worked]]&gt;25),ROUND(Table1[[#This Row],[ACTUAL SALARY]]*5%,0),0)</f>
        <v>0</v>
      </c>
      <c r="J12" s="8">
        <f>ROUND(Table1[[#This Row],[ACTUAL SALARY]]+Table1[[#This Row],[BONUS]],0)</f>
        <v>14167</v>
      </c>
      <c r="M12" s="14" t="s">
        <v>30</v>
      </c>
      <c r="N12" s="15">
        <v>19</v>
      </c>
      <c r="O12" s="16" t="str">
        <f>VLOOKUP(N12,Table1[],2,0)</f>
        <v>ARPITA PANDA</v>
      </c>
      <c r="P12" s="16" t="str">
        <f>VLOOKUP(N12,Table1[],3,0)</f>
        <v>HR</v>
      </c>
      <c r="Q12" s="17" t="str">
        <f>VLOOKUP(N12,Table1[],4,0)</f>
        <v>Trainer</v>
      </c>
      <c r="R12" s="17">
        <f>VLOOKUP(N12,Table1[],5,TRUE)</f>
        <v>25000</v>
      </c>
      <c r="S12" s="17">
        <f>VLOOKUP(N12,B3:J103,6,0)</f>
        <v>22</v>
      </c>
      <c r="T12" s="17" cm="1">
        <f t="array" ref="T12">VLOOKUP(Table2[[#All],[Column2]],Table1[],7,0)</f>
        <v>18333</v>
      </c>
      <c r="U12" s="17" cm="1">
        <f t="array" ref="U12">VLOOKUP(Table2[[#All],[Column2]],Table1[],8,0)</f>
        <v>0</v>
      </c>
      <c r="V12" s="17" cm="1">
        <f t="array" ref="V12">VLOOKUP(Table2[[#All],[Column2]],Table1[],9,0)</f>
        <v>18333</v>
      </c>
    </row>
    <row r="13" spans="2:22">
      <c r="B13" s="6">
        <v>11</v>
      </c>
      <c r="C13" s="12" t="s">
        <v>31</v>
      </c>
      <c r="D13" s="8" t="s">
        <v>14</v>
      </c>
      <c r="E13" s="7" t="s">
        <v>22</v>
      </c>
      <c r="F13" s="9">
        <f t="shared" si="0"/>
        <v>35000</v>
      </c>
      <c r="G13" s="13">
        <v>21</v>
      </c>
      <c r="H13" s="8">
        <f>ROUND(Table1[[#This Row],[Monthly Salary]]/30*Table1[[#This Row],[Days Worked]],0)</f>
        <v>24500</v>
      </c>
      <c r="I13" s="8">
        <f>IF(AND(Table1[[#This Row],[Monthly Salary]]&gt;18000,Table1[[#This Row],[Days Worked]]&gt;25),ROUND(Table1[[#This Row],[ACTUAL SALARY]]*5%,0),0)</f>
        <v>0</v>
      </c>
      <c r="J13" s="8">
        <f>ROUND(Table1[[#This Row],[ACTUAL SALARY]]+Table1[[#This Row],[BONUS]],0)</f>
        <v>24500</v>
      </c>
    </row>
    <row r="14" spans="2:22">
      <c r="B14" s="6">
        <v>12</v>
      </c>
      <c r="C14" s="12" t="s">
        <v>32</v>
      </c>
      <c r="D14" s="8" t="s">
        <v>14</v>
      </c>
      <c r="E14" s="7" t="s">
        <v>18</v>
      </c>
      <c r="F14" s="9">
        <f t="shared" si="0"/>
        <v>35000</v>
      </c>
      <c r="G14" s="13">
        <v>23</v>
      </c>
      <c r="H14" s="8">
        <f>ROUND(Table1[[#This Row],[Monthly Salary]]/30*Table1[[#This Row],[Days Worked]],0)</f>
        <v>26833</v>
      </c>
      <c r="I14" s="8">
        <f>IF(AND(Table1[[#This Row],[Monthly Salary]]&gt;18000,Table1[[#This Row],[Days Worked]]&gt;25),ROUND(Table1[[#This Row],[ACTUAL SALARY]]*5%,0),0)</f>
        <v>0</v>
      </c>
      <c r="J14" s="8">
        <f>ROUND(Table1[[#This Row],[ACTUAL SALARY]]+Table1[[#This Row],[BONUS]],0)</f>
        <v>26833</v>
      </c>
    </row>
    <row r="15" spans="2:22">
      <c r="B15" s="6">
        <v>13</v>
      </c>
      <c r="C15" s="12" t="s">
        <v>33</v>
      </c>
      <c r="D15" s="8" t="s">
        <v>10</v>
      </c>
      <c r="E15" s="7" t="s">
        <v>11</v>
      </c>
      <c r="F15" s="9">
        <f t="shared" si="0"/>
        <v>25000</v>
      </c>
      <c r="G15" s="13">
        <v>26</v>
      </c>
      <c r="H15" s="8">
        <f>ROUND(Table1[[#This Row],[Monthly Salary]]/30*Table1[[#This Row],[Days Worked]],0)</f>
        <v>21667</v>
      </c>
      <c r="I15" s="8">
        <f>IF(AND(Table1[[#This Row],[Monthly Salary]]&gt;18000,Table1[[#This Row],[Days Worked]]&gt;25),ROUND(Table1[[#This Row],[ACTUAL SALARY]]*5%,0),0)</f>
        <v>1083</v>
      </c>
      <c r="J15" s="8">
        <f>ROUND(Table1[[#This Row],[ACTUAL SALARY]]+Table1[[#This Row],[BONUS]],0)</f>
        <v>22750</v>
      </c>
    </row>
    <row r="16" spans="2:22">
      <c r="B16" s="6">
        <v>14</v>
      </c>
      <c r="C16" s="12" t="s">
        <v>34</v>
      </c>
      <c r="D16" s="8" t="s">
        <v>14</v>
      </c>
      <c r="E16" s="7" t="s">
        <v>15</v>
      </c>
      <c r="F16" s="9">
        <f t="shared" si="0"/>
        <v>35000</v>
      </c>
      <c r="G16" s="13">
        <v>29</v>
      </c>
      <c r="H16" s="8">
        <f>ROUND(Table1[[#This Row],[Monthly Salary]]/30*Table1[[#This Row],[Days Worked]],0)</f>
        <v>33833</v>
      </c>
      <c r="I16" s="8">
        <f>IF(AND(Table1[[#This Row],[Monthly Salary]]&gt;18000,Table1[[#This Row],[Days Worked]]&gt;25),ROUND(Table1[[#This Row],[ACTUAL SALARY]]*5%,0),0)</f>
        <v>1692</v>
      </c>
      <c r="J16" s="8">
        <f>ROUND(Table1[[#This Row],[ACTUAL SALARY]]+Table1[[#This Row],[BONUS]],0)</f>
        <v>35525</v>
      </c>
    </row>
    <row r="17" spans="2:13">
      <c r="B17" s="6">
        <v>15</v>
      </c>
      <c r="C17" s="12" t="s">
        <v>35</v>
      </c>
      <c r="D17" s="8" t="s">
        <v>17</v>
      </c>
      <c r="E17" s="7" t="s">
        <v>18</v>
      </c>
      <c r="F17" s="9">
        <f t="shared" si="0"/>
        <v>18000</v>
      </c>
      <c r="G17" s="13">
        <v>14</v>
      </c>
      <c r="H17" s="8">
        <f>ROUND(Table1[[#This Row],[Monthly Salary]]/30*Table1[[#This Row],[Days Worked]],0)</f>
        <v>8400</v>
      </c>
      <c r="I17" s="8">
        <f>IF(AND(Table1[[#This Row],[Monthly Salary]]&gt;18000,Table1[[#This Row],[Days Worked]]&gt;25),ROUND(Table1[[#This Row],[ACTUAL SALARY]]*5%,0),0)</f>
        <v>0</v>
      </c>
      <c r="J17" s="8">
        <f>ROUND(Table1[[#This Row],[ACTUAL SALARY]]+Table1[[#This Row],[BONUS]],0)</f>
        <v>8400</v>
      </c>
    </row>
    <row r="18" spans="2:13">
      <c r="B18" s="6">
        <v>16</v>
      </c>
      <c r="C18" s="12" t="s">
        <v>36</v>
      </c>
      <c r="D18" s="8" t="s">
        <v>14</v>
      </c>
      <c r="E18" s="7" t="s">
        <v>11</v>
      </c>
      <c r="F18" s="9">
        <f t="shared" si="0"/>
        <v>35000</v>
      </c>
      <c r="G18" s="13">
        <v>25</v>
      </c>
      <c r="H18" s="8">
        <f>ROUND(Table1[[#This Row],[Monthly Salary]]/30*Table1[[#This Row],[Days Worked]],0)</f>
        <v>29167</v>
      </c>
      <c r="I18" s="8">
        <f>IF(AND(Table1[[#This Row],[Monthly Salary]]&gt;18000,Table1[[#This Row],[Days Worked]]&gt;25),ROUND(Table1[[#This Row],[ACTUAL SALARY]]*5%,0),0)</f>
        <v>0</v>
      </c>
      <c r="J18" s="8">
        <f>ROUND(Table1[[#This Row],[ACTUAL SALARY]]+Table1[[#This Row],[BONUS]],0)</f>
        <v>29167</v>
      </c>
    </row>
    <row r="19" spans="2:13">
      <c r="B19" s="6">
        <v>17</v>
      </c>
      <c r="C19" s="12" t="s">
        <v>37</v>
      </c>
      <c r="D19" s="8" t="s">
        <v>14</v>
      </c>
      <c r="E19" s="7" t="s">
        <v>15</v>
      </c>
      <c r="F19" s="9">
        <f t="shared" si="0"/>
        <v>35000</v>
      </c>
      <c r="G19" s="13">
        <v>27</v>
      </c>
      <c r="H19" s="8">
        <f>ROUND(Table1[[#This Row],[Monthly Salary]]/30*Table1[[#This Row],[Days Worked]],0)</f>
        <v>31500</v>
      </c>
      <c r="I19" s="8">
        <f>IF(AND(Table1[[#This Row],[Monthly Salary]]&gt;18000,Table1[[#This Row],[Days Worked]]&gt;25),ROUND(Table1[[#This Row],[ACTUAL SALARY]]*5%,0),0)</f>
        <v>1575</v>
      </c>
      <c r="J19" s="8">
        <f>ROUND(Table1[[#This Row],[ACTUAL SALARY]]+Table1[[#This Row],[BONUS]],0)</f>
        <v>33075</v>
      </c>
    </row>
    <row r="20" ht="15.15" spans="2:13">
      <c r="B20" s="6">
        <v>18</v>
      </c>
      <c r="C20" s="12" t="s">
        <v>38</v>
      </c>
      <c r="D20" s="8" t="s">
        <v>17</v>
      </c>
      <c r="E20" s="7" t="s">
        <v>18</v>
      </c>
      <c r="F20" s="9">
        <f t="shared" si="0"/>
        <v>18000</v>
      </c>
      <c r="G20" s="13">
        <v>19</v>
      </c>
      <c r="H20" s="8">
        <f>ROUND(Table1[[#This Row],[Monthly Salary]]/30*Table1[[#This Row],[Days Worked]],0)</f>
        <v>11400</v>
      </c>
      <c r="I20" s="8">
        <f>IF(AND(Table1[[#This Row],[Monthly Salary]]&gt;18000,Table1[[#This Row],[Days Worked]]&gt;25),ROUND(Table1[[#This Row],[ACTUAL SALARY]]*5%,0),0)</f>
        <v>0</v>
      </c>
      <c r="J20" s="8">
        <f>ROUND(Table1[[#This Row],[ACTUAL SALARY]]+Table1[[#This Row],[BONUS]],0)</f>
        <v>11400</v>
      </c>
      <c r="K20" s="18"/>
      <c r="L20" s="18"/>
      <c r="M20" s="18"/>
    </row>
    <row r="21" ht="15.15" spans="2:13">
      <c r="B21" s="6">
        <v>19</v>
      </c>
      <c r="C21" s="12" t="s">
        <v>39</v>
      </c>
      <c r="D21" s="8" t="s">
        <v>10</v>
      </c>
      <c r="E21" s="7" t="s">
        <v>20</v>
      </c>
      <c r="F21" s="9">
        <f t="shared" si="0"/>
        <v>25000</v>
      </c>
      <c r="G21" s="13">
        <v>22</v>
      </c>
      <c r="H21" s="8">
        <f>ROUND(Table1[[#This Row],[Monthly Salary]]/30*Table1[[#This Row],[Days Worked]],0)</f>
        <v>18333</v>
      </c>
      <c r="I21" s="8">
        <f>IF(AND(Table1[[#This Row],[Monthly Salary]]&gt;18000,Table1[[#This Row],[Days Worked]]&gt;25),ROUND(Table1[[#This Row],[ACTUAL SALARY]]*5%,0),0)</f>
        <v>0</v>
      </c>
      <c r="J21" s="8">
        <f>ROUND(Table1[[#This Row],[ACTUAL SALARY]]+Table1[[#This Row],[BONUS]],0)</f>
        <v>18333</v>
      </c>
      <c r="K21" s="19" t="s">
        <v>10</v>
      </c>
      <c r="L21" s="10" t="s">
        <v>14</v>
      </c>
      <c r="M21" s="10" t="s">
        <v>17</v>
      </c>
    </row>
    <row r="22" ht="15.15" spans="2:13">
      <c r="B22" s="6">
        <v>20</v>
      </c>
      <c r="C22" s="12" t="s">
        <v>40</v>
      </c>
      <c r="D22" s="8" t="s">
        <v>14</v>
      </c>
      <c r="E22" s="7" t="s">
        <v>22</v>
      </c>
      <c r="F22" s="9">
        <f t="shared" si="0"/>
        <v>35000</v>
      </c>
      <c r="G22" s="13">
        <v>23</v>
      </c>
      <c r="H22" s="8">
        <f>ROUND(Table1[[#This Row],[Monthly Salary]]/30*Table1[[#This Row],[Days Worked]],0)</f>
        <v>26833</v>
      </c>
      <c r="I22" s="8">
        <f>IF(AND(Table1[[#This Row],[Monthly Salary]]&gt;18000,Table1[[#This Row],[Days Worked]]&gt;25),ROUND(Table1[[#This Row],[ACTUAL SALARY]]*5%,0),0)</f>
        <v>0</v>
      </c>
      <c r="J22" s="8">
        <f>ROUND(Table1[[#This Row],[ACTUAL SALARY]]+Table1[[#This Row],[BONUS]],0)</f>
        <v>26833</v>
      </c>
      <c r="K22" s="20" t="s">
        <v>18</v>
      </c>
      <c r="L22" s="11" t="s">
        <v>22</v>
      </c>
      <c r="M22" s="11" t="s">
        <v>24</v>
      </c>
    </row>
    <row r="23" ht="15.15" spans="2:13">
      <c r="B23" s="6">
        <v>21</v>
      </c>
      <c r="C23" s="12" t="s">
        <v>41</v>
      </c>
      <c r="D23" s="8" t="s">
        <v>17</v>
      </c>
      <c r="E23" s="7" t="s">
        <v>24</v>
      </c>
      <c r="F23" s="9">
        <f t="shared" si="0"/>
        <v>18000</v>
      </c>
      <c r="G23" s="13">
        <v>28</v>
      </c>
      <c r="H23" s="8">
        <f>ROUND(Table1[[#This Row],[Monthly Salary]]/30*Table1[[#This Row],[Days Worked]],0)</f>
        <v>16800</v>
      </c>
      <c r="I23" s="8">
        <f>IF(AND(Table1[[#This Row],[Monthly Salary]]&gt;18000,Table1[[#This Row],[Days Worked]]&gt;25),ROUND(Table1[[#This Row],[ACTUAL SALARY]]*5%,0),0)</f>
        <v>0</v>
      </c>
      <c r="J23" s="8">
        <f>ROUND(Table1[[#This Row],[ACTUAL SALARY]]+Table1[[#This Row],[BONUS]],0)</f>
        <v>16800</v>
      </c>
      <c r="K23" s="20" t="s">
        <v>11</v>
      </c>
      <c r="L23" s="11" t="s">
        <v>15</v>
      </c>
      <c r="M23" s="11" t="s">
        <v>18</v>
      </c>
    </row>
    <row r="24" ht="15.15" spans="2:13">
      <c r="B24" s="6">
        <v>22</v>
      </c>
      <c r="C24" s="12" t="s">
        <v>42</v>
      </c>
      <c r="D24" s="8" t="s">
        <v>10</v>
      </c>
      <c r="E24" s="7" t="s">
        <v>11</v>
      </c>
      <c r="F24" s="9">
        <f t="shared" si="0"/>
        <v>25000</v>
      </c>
      <c r="G24" s="13">
        <v>22</v>
      </c>
      <c r="H24" s="8">
        <f>ROUND(Table1[[#This Row],[Monthly Salary]]/30*Table1[[#This Row],[Days Worked]],0)</f>
        <v>18333</v>
      </c>
      <c r="I24" s="8">
        <f>IF(AND(Table1[[#This Row],[Monthly Salary]]&gt;18000,Table1[[#This Row],[Days Worked]]&gt;25),ROUND(Table1[[#This Row],[ACTUAL SALARY]]*5%,0),0)</f>
        <v>0</v>
      </c>
      <c r="J24" s="8">
        <f>ROUND(Table1[[#This Row],[ACTUAL SALARY]]+Table1[[#This Row],[BONUS]],0)</f>
        <v>18333</v>
      </c>
      <c r="K24" s="20" t="s">
        <v>20</v>
      </c>
      <c r="L24" s="11" t="s">
        <v>43</v>
      </c>
      <c r="M24" s="11" t="s">
        <v>28</v>
      </c>
    </row>
    <row r="25" spans="2:13">
      <c r="B25" s="6">
        <v>23</v>
      </c>
      <c r="C25" s="12" t="s">
        <v>44</v>
      </c>
      <c r="D25" s="8" t="s">
        <v>14</v>
      </c>
      <c r="E25" s="7" t="s">
        <v>15</v>
      </c>
      <c r="F25" s="9">
        <f t="shared" si="0"/>
        <v>35000</v>
      </c>
      <c r="G25" s="13">
        <v>21</v>
      </c>
      <c r="H25" s="8">
        <f>ROUND(Table1[[#This Row],[Monthly Salary]]/30*Table1[[#This Row],[Days Worked]],0)</f>
        <v>24500</v>
      </c>
      <c r="I25" s="8">
        <f>IF(AND(Table1[[#This Row],[Monthly Salary]]&gt;18000,Table1[[#This Row],[Days Worked]]&gt;25),ROUND(Table1[[#This Row],[ACTUAL SALARY]]*5%,0),0)</f>
        <v>0</v>
      </c>
      <c r="J25" s="8">
        <f>ROUND(Table1[[#This Row],[ACTUAL SALARY]]+Table1[[#This Row],[BONUS]],0)</f>
        <v>24500</v>
      </c>
    </row>
    <row r="26" spans="2:13">
      <c r="B26" s="6">
        <v>24</v>
      </c>
      <c r="C26" s="12" t="s">
        <v>44</v>
      </c>
      <c r="D26" s="8" t="s">
        <v>17</v>
      </c>
      <c r="E26" s="7" t="s">
        <v>28</v>
      </c>
      <c r="F26" s="9">
        <f t="shared" si="0"/>
        <v>18000</v>
      </c>
      <c r="G26" s="13">
        <v>16</v>
      </c>
      <c r="H26" s="8">
        <f>ROUND(Table1[[#This Row],[Monthly Salary]]/30*Table1[[#This Row],[Days Worked]],0)</f>
        <v>9600</v>
      </c>
      <c r="I26" s="8">
        <f>IF(AND(Table1[[#This Row],[Monthly Salary]]&gt;18000,Table1[[#This Row],[Days Worked]]&gt;25),ROUND(Table1[[#This Row],[ACTUAL SALARY]]*5%,0),0)</f>
        <v>0</v>
      </c>
      <c r="J26" s="8">
        <f>ROUND(Table1[[#This Row],[ACTUAL SALARY]]+Table1[[#This Row],[BONUS]],0)</f>
        <v>9600</v>
      </c>
    </row>
    <row r="27" spans="2:13">
      <c r="B27" s="6">
        <v>25</v>
      </c>
      <c r="C27" s="12" t="s">
        <v>45</v>
      </c>
      <c r="D27" s="8" t="s">
        <v>10</v>
      </c>
      <c r="E27" s="7" t="s">
        <v>11</v>
      </c>
      <c r="F27" s="9">
        <f t="shared" si="0"/>
        <v>25000</v>
      </c>
      <c r="G27" s="13">
        <v>15</v>
      </c>
      <c r="H27" s="8">
        <f>ROUND(Table1[[#This Row],[Monthly Salary]]/30*Table1[[#This Row],[Days Worked]],0)</f>
        <v>12500</v>
      </c>
      <c r="I27" s="8">
        <f>IF(AND(Table1[[#This Row],[Monthly Salary]]&gt;18000,Table1[[#This Row],[Days Worked]]&gt;25),ROUND(Table1[[#This Row],[ACTUAL SALARY]]*5%,0),0)</f>
        <v>0</v>
      </c>
      <c r="J27" s="8">
        <f>ROUND(Table1[[#This Row],[ACTUAL SALARY]]+Table1[[#This Row],[BONUS]],0)</f>
        <v>12500</v>
      </c>
    </row>
    <row r="28" spans="2:13">
      <c r="B28" s="6">
        <v>26</v>
      </c>
      <c r="C28" s="12" t="s">
        <v>46</v>
      </c>
      <c r="D28" s="8" t="s">
        <v>14</v>
      </c>
      <c r="E28" s="7" t="s">
        <v>22</v>
      </c>
      <c r="F28" s="9">
        <f t="shared" si="0"/>
        <v>35000</v>
      </c>
      <c r="G28" s="13">
        <v>21</v>
      </c>
      <c r="H28" s="8">
        <f>ROUND(Table1[[#This Row],[Monthly Salary]]/30*Table1[[#This Row],[Days Worked]],0)</f>
        <v>24500</v>
      </c>
      <c r="I28" s="8">
        <f>IF(AND(Table1[[#This Row],[Monthly Salary]]&gt;18000,Table1[[#This Row],[Days Worked]]&gt;25),ROUND(Table1[[#This Row],[ACTUAL SALARY]]*5%,0),0)</f>
        <v>0</v>
      </c>
      <c r="J28" s="8">
        <f>ROUND(Table1[[#This Row],[ACTUAL SALARY]]+Table1[[#This Row],[BONUS]],0)</f>
        <v>24500</v>
      </c>
    </row>
    <row r="29" spans="2:13">
      <c r="B29" s="6">
        <v>27</v>
      </c>
      <c r="C29" s="12" t="s">
        <v>47</v>
      </c>
      <c r="D29" s="8" t="s">
        <v>17</v>
      </c>
      <c r="E29" s="7" t="s">
        <v>18</v>
      </c>
      <c r="F29" s="9">
        <f t="shared" si="0"/>
        <v>18000</v>
      </c>
      <c r="G29" s="13">
        <v>22</v>
      </c>
      <c r="H29" s="8">
        <f>ROUND(Table1[[#This Row],[Monthly Salary]]/30*Table1[[#This Row],[Days Worked]],0)</f>
        <v>13200</v>
      </c>
      <c r="I29" s="8">
        <f>IF(AND(Table1[[#This Row],[Monthly Salary]]&gt;18000,Table1[[#This Row],[Days Worked]]&gt;25),ROUND(Table1[[#This Row],[ACTUAL SALARY]]*5%,0),0)</f>
        <v>0</v>
      </c>
      <c r="J29" s="8">
        <f>ROUND(Table1[[#This Row],[ACTUAL SALARY]]+Table1[[#This Row],[BONUS]],0)</f>
        <v>13200</v>
      </c>
    </row>
    <row r="30" spans="2:13">
      <c r="B30" s="6">
        <v>28</v>
      </c>
      <c r="C30" s="12" t="s">
        <v>48</v>
      </c>
      <c r="D30" s="8" t="s">
        <v>10</v>
      </c>
      <c r="E30" s="7" t="s">
        <v>11</v>
      </c>
      <c r="F30" s="9">
        <f t="shared" si="0"/>
        <v>25000</v>
      </c>
      <c r="G30" s="13">
        <v>24</v>
      </c>
      <c r="H30" s="8">
        <f>ROUND(Table1[[#This Row],[Monthly Salary]]/30*Table1[[#This Row],[Days Worked]],0)</f>
        <v>20000</v>
      </c>
      <c r="I30" s="8">
        <f>IF(AND(Table1[[#This Row],[Monthly Salary]]&gt;18000,Table1[[#This Row],[Days Worked]]&gt;25),ROUND(Table1[[#This Row],[ACTUAL SALARY]]*5%,0),0)</f>
        <v>0</v>
      </c>
      <c r="J30" s="8">
        <f>ROUND(Table1[[#This Row],[ACTUAL SALARY]]+Table1[[#This Row],[BONUS]],0)</f>
        <v>20000</v>
      </c>
    </row>
    <row r="31" ht="22.2" spans="2:13">
      <c r="B31" s="6">
        <v>29</v>
      </c>
      <c r="C31" s="12" t="s">
        <v>49</v>
      </c>
      <c r="D31" s="8" t="s">
        <v>17</v>
      </c>
      <c r="E31" s="7" t="s">
        <v>18</v>
      </c>
      <c r="F31" s="9">
        <f t="shared" si="0"/>
        <v>18000</v>
      </c>
      <c r="G31" s="13">
        <v>27</v>
      </c>
      <c r="H31" s="8">
        <f>ROUND(Table1[[#This Row],[Monthly Salary]]/30*Table1[[#This Row],[Days Worked]],0)</f>
        <v>16200</v>
      </c>
      <c r="I31" s="8">
        <f>IF(AND(Table1[[#This Row],[Monthly Salary]]&gt;18000,Table1[[#This Row],[Days Worked]]&gt;25),ROUND(Table1[[#This Row],[ACTUAL SALARY]]*5%,0),0)</f>
        <v>0</v>
      </c>
      <c r="J31" s="8">
        <f>ROUND(Table1[[#This Row],[ACTUAL SALARY]]+Table1[[#This Row],[BONUS]],0)</f>
        <v>16200</v>
      </c>
      <c r="M31" s="21" t="s">
        <v>4</v>
      </c>
    </row>
    <row r="32" spans="2:13">
      <c r="B32" s="6">
        <v>30</v>
      </c>
      <c r="C32" s="12" t="s">
        <v>50</v>
      </c>
      <c r="D32" s="8" t="s">
        <v>17</v>
      </c>
      <c r="E32" s="7" t="s">
        <v>18</v>
      </c>
      <c r="F32" s="9">
        <f t="shared" si="0"/>
        <v>18000</v>
      </c>
      <c r="G32" s="13">
        <v>26</v>
      </c>
      <c r="H32" s="8">
        <f>ROUND(Table1[[#This Row],[Monthly Salary]]/30*Table1[[#This Row],[Days Worked]],0)</f>
        <v>15600</v>
      </c>
      <c r="I32" s="8">
        <f>IF(AND(Table1[[#This Row],[Monthly Salary]]&gt;18000,Table1[[#This Row],[Days Worked]]&gt;25),ROUND(Table1[[#This Row],[ACTUAL SALARY]]*5%,0),0)</f>
        <v>0</v>
      </c>
      <c r="J32" s="8">
        <f>ROUND(Table1[[#This Row],[ACTUAL SALARY]]+Table1[[#This Row],[BONUS]],0)</f>
        <v>15600</v>
      </c>
    </row>
    <row r="33" spans="2:13">
      <c r="B33" s="6">
        <v>31</v>
      </c>
      <c r="C33" s="12" t="s">
        <v>51</v>
      </c>
      <c r="D33" s="8" t="s">
        <v>10</v>
      </c>
      <c r="E33" s="7" t="s">
        <v>11</v>
      </c>
      <c r="F33" s="9">
        <f t="shared" si="0"/>
        <v>25000</v>
      </c>
      <c r="G33" s="13">
        <v>23</v>
      </c>
      <c r="H33" s="8">
        <f>ROUND(Table1[[#This Row],[Monthly Salary]]/30*Table1[[#This Row],[Days Worked]],0)</f>
        <v>19167</v>
      </c>
      <c r="I33" s="8">
        <f>IF(AND(Table1[[#This Row],[Monthly Salary]]&gt;18000,Table1[[#This Row],[Days Worked]]&gt;25),ROUND(Table1[[#This Row],[ACTUAL SALARY]]*5%,0),0)</f>
        <v>0</v>
      </c>
      <c r="J33" s="8">
        <f>ROUND(Table1[[#This Row],[ACTUAL SALARY]]+Table1[[#This Row],[BONUS]],0)</f>
        <v>19167</v>
      </c>
    </row>
    <row r="34" ht="20.4" spans="2:13">
      <c r="B34" s="6">
        <v>32</v>
      </c>
      <c r="C34" s="12" t="s">
        <v>52</v>
      </c>
      <c r="D34" s="8" t="s">
        <v>14</v>
      </c>
      <c r="E34" s="7" t="s">
        <v>15</v>
      </c>
      <c r="F34" s="9">
        <f t="shared" si="0"/>
        <v>35000</v>
      </c>
      <c r="G34" s="13">
        <v>29</v>
      </c>
      <c r="H34" s="8">
        <f>ROUND(Table1[[#This Row],[Monthly Salary]]/30*Table1[[#This Row],[Days Worked]],0)</f>
        <v>33833</v>
      </c>
      <c r="I34" s="8">
        <f>IF(AND(Table1[[#This Row],[Monthly Salary]]&gt;18000,Table1[[#This Row],[Days Worked]]&gt;25),ROUND(Table1[[#This Row],[ACTUAL SALARY]]*5%,0),0)</f>
        <v>1692</v>
      </c>
      <c r="J34" s="8">
        <f>ROUND(Table1[[#This Row],[ACTUAL SALARY]]+Table1[[#This Row],[BONUS]],0)</f>
        <v>35525</v>
      </c>
      <c r="M34" s="22">
        <v>11</v>
      </c>
    </row>
    <row r="35" spans="2:13">
      <c r="B35" s="6">
        <v>33</v>
      </c>
      <c r="C35" s="12" t="s">
        <v>53</v>
      </c>
      <c r="D35" s="8" t="s">
        <v>17</v>
      </c>
      <c r="E35" s="7" t="s">
        <v>18</v>
      </c>
      <c r="F35" s="9">
        <f t="shared" si="0"/>
        <v>18000</v>
      </c>
      <c r="G35" s="13">
        <v>19</v>
      </c>
      <c r="H35" s="8">
        <f>ROUND(Table1[[#This Row],[Monthly Salary]]/30*Table1[[#This Row],[Days Worked]],0)</f>
        <v>11400</v>
      </c>
      <c r="I35" s="8">
        <f>IF(AND(Table1[[#This Row],[Monthly Salary]]&gt;18000,Table1[[#This Row],[Days Worked]]&gt;25),ROUND(Table1[[#This Row],[ACTUAL SALARY]]*5%,0),0)</f>
        <v>0</v>
      </c>
      <c r="J35" s="8">
        <f>ROUND(Table1[[#This Row],[ACTUAL SALARY]]+Table1[[#This Row],[BONUS]],0)</f>
        <v>11400</v>
      </c>
    </row>
    <row r="36" spans="2:13">
      <c r="B36" s="6">
        <v>34</v>
      </c>
      <c r="C36" s="12" t="s">
        <v>54</v>
      </c>
      <c r="D36" s="8" t="s">
        <v>10</v>
      </c>
      <c r="E36" s="7" t="s">
        <v>20</v>
      </c>
      <c r="F36" s="9">
        <f t="shared" si="0"/>
        <v>25000</v>
      </c>
      <c r="G36" s="13">
        <v>20</v>
      </c>
      <c r="H36" s="8">
        <f>ROUND(Table1[[#This Row],[Monthly Salary]]/30*Table1[[#This Row],[Days Worked]],0)</f>
        <v>16667</v>
      </c>
      <c r="I36" s="8">
        <f>IF(AND(Table1[[#This Row],[Monthly Salary]]&gt;18000,Table1[[#This Row],[Days Worked]]&gt;25),ROUND(Table1[[#This Row],[ACTUAL SALARY]]*5%,0),0)</f>
        <v>0</v>
      </c>
      <c r="J36" s="8">
        <f>ROUND(Table1[[#This Row],[ACTUAL SALARY]]+Table1[[#This Row],[BONUS]],0)</f>
        <v>16667</v>
      </c>
    </row>
    <row r="37" spans="2:13">
      <c r="B37" s="6">
        <v>35</v>
      </c>
      <c r="C37" s="12" t="s">
        <v>55</v>
      </c>
      <c r="D37" s="8" t="s">
        <v>14</v>
      </c>
      <c r="E37" s="7" t="s">
        <v>22</v>
      </c>
      <c r="F37" s="9">
        <f t="shared" si="0"/>
        <v>35000</v>
      </c>
      <c r="G37" s="13">
        <v>25</v>
      </c>
      <c r="H37" s="8">
        <f>ROUND(Table1[[#This Row],[Monthly Salary]]/30*Table1[[#This Row],[Days Worked]],0)</f>
        <v>29167</v>
      </c>
      <c r="I37" s="8">
        <f>IF(AND(Table1[[#This Row],[Monthly Salary]]&gt;18000,Table1[[#This Row],[Days Worked]]&gt;25),ROUND(Table1[[#This Row],[ACTUAL SALARY]]*5%,0),0)</f>
        <v>0</v>
      </c>
      <c r="J37" s="8">
        <f>ROUND(Table1[[#This Row],[ACTUAL SALARY]]+Table1[[#This Row],[BONUS]],0)</f>
        <v>29167</v>
      </c>
    </row>
    <row r="38" ht="20.4" spans="2:13">
      <c r="B38" s="6">
        <v>36</v>
      </c>
      <c r="C38" s="12" t="s">
        <v>56</v>
      </c>
      <c r="D38" s="8" t="s">
        <v>17</v>
      </c>
      <c r="E38" s="7" t="s">
        <v>24</v>
      </c>
      <c r="F38" s="9">
        <f t="shared" si="0"/>
        <v>18000</v>
      </c>
      <c r="G38" s="13">
        <v>21</v>
      </c>
      <c r="H38" s="8">
        <f>ROUND(Table1[[#This Row],[Monthly Salary]]/30*Table1[[#This Row],[Days Worked]],0)</f>
        <v>12600</v>
      </c>
      <c r="I38" s="8">
        <f>IF(AND(Table1[[#This Row],[Monthly Salary]]&gt;18000,Table1[[#This Row],[Days Worked]]&gt;25),ROUND(Table1[[#This Row],[ACTUAL SALARY]]*5%,0),0)</f>
        <v>0</v>
      </c>
      <c r="J38" s="8">
        <f>ROUND(Table1[[#This Row],[ACTUAL SALARY]]+Table1[[#This Row],[BONUS]],0)</f>
        <v>12600</v>
      </c>
      <c r="M38" s="23">
        <v>7</v>
      </c>
    </row>
    <row r="39" spans="2:13">
      <c r="B39" s="6">
        <v>37</v>
      </c>
      <c r="C39" s="12" t="s">
        <v>57</v>
      </c>
      <c r="D39" s="8" t="s">
        <v>10</v>
      </c>
      <c r="E39" s="7" t="s">
        <v>11</v>
      </c>
      <c r="F39" s="9">
        <f t="shared" si="0"/>
        <v>25000</v>
      </c>
      <c r="G39" s="13">
        <v>23</v>
      </c>
      <c r="H39" s="8">
        <f>ROUND(Table1[[#This Row],[Monthly Salary]]/30*Table1[[#This Row],[Days Worked]],0)</f>
        <v>19167</v>
      </c>
      <c r="I39" s="8">
        <f>IF(AND(Table1[[#This Row],[Monthly Salary]]&gt;18000,Table1[[#This Row],[Days Worked]]&gt;25),ROUND(Table1[[#This Row],[ACTUAL SALARY]]*5%,0),0)</f>
        <v>0</v>
      </c>
      <c r="J39" s="8">
        <f>ROUND(Table1[[#This Row],[ACTUAL SALARY]]+Table1[[#This Row],[BONUS]],0)</f>
        <v>19167</v>
      </c>
    </row>
    <row r="40" spans="2:13">
      <c r="B40" s="6">
        <v>38</v>
      </c>
      <c r="C40" s="12" t="s">
        <v>58</v>
      </c>
      <c r="D40" s="8" t="s">
        <v>14</v>
      </c>
      <c r="E40" s="7" t="s">
        <v>15</v>
      </c>
      <c r="F40" s="9">
        <f t="shared" si="0"/>
        <v>35000</v>
      </c>
      <c r="G40" s="13">
        <v>20</v>
      </c>
      <c r="H40" s="8">
        <f>ROUND(Table1[[#This Row],[Monthly Salary]]/30*Table1[[#This Row],[Days Worked]],0)</f>
        <v>23333</v>
      </c>
      <c r="I40" s="8">
        <f>IF(AND(Table1[[#This Row],[Monthly Salary]]&gt;18000,Table1[[#This Row],[Days Worked]]&gt;25),ROUND(Table1[[#This Row],[ACTUAL SALARY]]*5%,0),0)</f>
        <v>0</v>
      </c>
      <c r="J40" s="8">
        <f>ROUND(Table1[[#This Row],[ACTUAL SALARY]]+Table1[[#This Row],[BONUS]],0)</f>
        <v>23333</v>
      </c>
      <c r="L40" s="24" t="s">
        <v>9</v>
      </c>
    </row>
    <row r="41" spans="2:13">
      <c r="B41" s="6">
        <v>39</v>
      </c>
      <c r="C41" s="12" t="s">
        <v>59</v>
      </c>
      <c r="D41" s="8" t="s">
        <v>17</v>
      </c>
      <c r="E41" s="7" t="s">
        <v>28</v>
      </c>
      <c r="F41" s="9">
        <f t="shared" si="0"/>
        <v>18000</v>
      </c>
      <c r="G41" s="13">
        <v>25</v>
      </c>
      <c r="H41" s="8">
        <f>ROUND(Table1[[#This Row],[Monthly Salary]]/30*Table1[[#This Row],[Days Worked]],0)</f>
        <v>15000</v>
      </c>
      <c r="I41" s="8">
        <f>IF(AND(Table1[[#This Row],[Monthly Salary]]&gt;18000,Table1[[#This Row],[Days Worked]]&gt;25),ROUND(Table1[[#This Row],[ACTUAL SALARY]]*5%,0),0)</f>
        <v>0</v>
      </c>
      <c r="J41" s="8">
        <f>ROUND(Table1[[#This Row],[ACTUAL SALARY]]+Table1[[#This Row],[BONUS]],0)</f>
        <v>15000</v>
      </c>
    </row>
    <row r="42" spans="2:13">
      <c r="B42" s="6">
        <v>40</v>
      </c>
      <c r="C42" s="12" t="s">
        <v>60</v>
      </c>
      <c r="D42" s="8" t="s">
        <v>10</v>
      </c>
      <c r="E42" s="7" t="s">
        <v>11</v>
      </c>
      <c r="F42" s="9">
        <f t="shared" si="0"/>
        <v>25000</v>
      </c>
      <c r="G42" s="13">
        <v>28</v>
      </c>
      <c r="H42" s="8">
        <f>ROUND(Table1[[#This Row],[Monthly Salary]]/30*Table1[[#This Row],[Days Worked]],0)</f>
        <v>23333</v>
      </c>
      <c r="I42" s="8">
        <f>IF(AND(Table1[[#This Row],[Monthly Salary]]&gt;18000,Table1[[#This Row],[Days Worked]]&gt;25),ROUND(Table1[[#This Row],[ACTUAL SALARY]]*5%,0),0)</f>
        <v>1167</v>
      </c>
      <c r="J42" s="8">
        <f>ROUND(Table1[[#This Row],[ACTUAL SALARY]]+Table1[[#This Row],[BONUS]],0)</f>
        <v>24500</v>
      </c>
    </row>
    <row r="43" spans="2:13">
      <c r="B43" s="6">
        <v>41</v>
      </c>
      <c r="C43" s="12" t="s">
        <v>61</v>
      </c>
      <c r="D43" s="8" t="s">
        <v>14</v>
      </c>
      <c r="E43" s="7" t="s">
        <v>22</v>
      </c>
      <c r="F43" s="9">
        <f t="shared" si="0"/>
        <v>35000</v>
      </c>
      <c r="G43" s="13">
        <v>24</v>
      </c>
      <c r="H43" s="8">
        <f>ROUND(Table1[[#This Row],[Monthly Salary]]/30*Table1[[#This Row],[Days Worked]],0)</f>
        <v>28000</v>
      </c>
      <c r="I43" s="8">
        <f>IF(AND(Table1[[#This Row],[Monthly Salary]]&gt;18000,Table1[[#This Row],[Days Worked]]&gt;25),ROUND(Table1[[#This Row],[ACTUAL SALARY]]*5%,0),0)</f>
        <v>0</v>
      </c>
      <c r="J43" s="8">
        <f>ROUND(Table1[[#This Row],[ACTUAL SALARY]]+Table1[[#This Row],[BONUS]],0)</f>
        <v>28000</v>
      </c>
    </row>
    <row r="44" spans="2:13">
      <c r="B44" s="6">
        <v>42</v>
      </c>
      <c r="C44" s="12" t="s">
        <v>62</v>
      </c>
      <c r="D44" s="8" t="s">
        <v>17</v>
      </c>
      <c r="E44" s="7" t="s">
        <v>18</v>
      </c>
      <c r="F44" s="9">
        <f t="shared" si="0"/>
        <v>18000</v>
      </c>
      <c r="G44" s="13">
        <v>25</v>
      </c>
      <c r="H44" s="8">
        <f>ROUND(Table1[[#This Row],[Monthly Salary]]/30*Table1[[#This Row],[Days Worked]],0)</f>
        <v>15000</v>
      </c>
      <c r="I44" s="8">
        <f>IF(AND(Table1[[#This Row],[Monthly Salary]]&gt;18000,Table1[[#This Row],[Days Worked]]&gt;25),ROUND(Table1[[#This Row],[ACTUAL SALARY]]*5%,0),0)</f>
        <v>0</v>
      </c>
      <c r="J44" s="8">
        <f>ROUND(Table1[[#This Row],[ACTUAL SALARY]]+Table1[[#This Row],[BONUS]],0)</f>
        <v>15000</v>
      </c>
    </row>
    <row r="45" spans="2:13">
      <c r="B45" s="6">
        <v>43</v>
      </c>
      <c r="C45" s="12" t="s">
        <v>62</v>
      </c>
      <c r="D45" s="8" t="s">
        <v>10</v>
      </c>
      <c r="E45" s="7" t="s">
        <v>11</v>
      </c>
      <c r="F45" s="9">
        <f t="shared" si="0"/>
        <v>25000</v>
      </c>
      <c r="G45" s="13">
        <v>17</v>
      </c>
      <c r="H45" s="8">
        <f>ROUND(Table1[[#This Row],[Monthly Salary]]/30*Table1[[#This Row],[Days Worked]],0)</f>
        <v>14167</v>
      </c>
      <c r="I45" s="8">
        <f>IF(AND(Table1[[#This Row],[Monthly Salary]]&gt;18000,Table1[[#This Row],[Days Worked]]&gt;25),ROUND(Table1[[#This Row],[ACTUAL SALARY]]*5%,0),0)</f>
        <v>0</v>
      </c>
      <c r="J45" s="8">
        <f>ROUND(Table1[[#This Row],[ACTUAL SALARY]]+Table1[[#This Row],[BONUS]],0)</f>
        <v>14167</v>
      </c>
    </row>
    <row r="46" spans="2:13">
      <c r="B46" s="6">
        <v>44</v>
      </c>
      <c r="C46" s="12" t="s">
        <v>63</v>
      </c>
      <c r="D46" s="8" t="s">
        <v>14</v>
      </c>
      <c r="E46" s="7" t="s">
        <v>15</v>
      </c>
      <c r="F46" s="9">
        <f t="shared" si="0"/>
        <v>35000</v>
      </c>
      <c r="G46" s="13">
        <v>15</v>
      </c>
      <c r="H46" s="8">
        <f>ROUND(Table1[[#This Row],[Monthly Salary]]/30*Table1[[#This Row],[Days Worked]],0)</f>
        <v>17500</v>
      </c>
      <c r="I46" s="8">
        <f>IF(AND(Table1[[#This Row],[Monthly Salary]]&gt;18000,Table1[[#This Row],[Days Worked]]&gt;25),ROUND(Table1[[#This Row],[ACTUAL SALARY]]*5%,0),0)</f>
        <v>0</v>
      </c>
      <c r="J46" s="8">
        <f>ROUND(Table1[[#This Row],[ACTUAL SALARY]]+Table1[[#This Row],[BONUS]],0)</f>
        <v>17500</v>
      </c>
    </row>
    <row r="47" spans="2:13">
      <c r="B47" s="6">
        <v>45</v>
      </c>
      <c r="C47" s="12" t="s">
        <v>64</v>
      </c>
      <c r="D47" s="8" t="s">
        <v>17</v>
      </c>
      <c r="E47" s="7" t="s">
        <v>18</v>
      </c>
      <c r="F47" s="9">
        <f t="shared" si="0"/>
        <v>18000</v>
      </c>
      <c r="G47" s="13">
        <v>12</v>
      </c>
      <c r="H47" s="8">
        <f>ROUND(Table1[[#This Row],[Monthly Salary]]/30*Table1[[#This Row],[Days Worked]],0)</f>
        <v>7200</v>
      </c>
      <c r="I47" s="8">
        <f>IF(AND(Table1[[#This Row],[Monthly Salary]]&gt;18000,Table1[[#This Row],[Days Worked]]&gt;25),ROUND(Table1[[#This Row],[ACTUAL SALARY]]*5%,0),0)</f>
        <v>0</v>
      </c>
      <c r="J47" s="8">
        <f>ROUND(Table1[[#This Row],[ACTUAL SALARY]]+Table1[[#This Row],[BONUS]],0)</f>
        <v>7200</v>
      </c>
    </row>
    <row r="48" spans="2:13">
      <c r="B48" s="6">
        <v>46</v>
      </c>
      <c r="C48" s="12" t="s">
        <v>65</v>
      </c>
      <c r="D48" s="8" t="s">
        <v>10</v>
      </c>
      <c r="E48" s="7" t="s">
        <v>11</v>
      </c>
      <c r="F48" s="9">
        <f t="shared" si="0"/>
        <v>25000</v>
      </c>
      <c r="G48" s="13">
        <v>17</v>
      </c>
      <c r="H48" s="8">
        <f>ROUND(Table1[[#This Row],[Monthly Salary]]/30*Table1[[#This Row],[Days Worked]],0)</f>
        <v>14167</v>
      </c>
      <c r="I48" s="8">
        <f>IF(AND(Table1[[#This Row],[Monthly Salary]]&gt;18000,Table1[[#This Row],[Days Worked]]&gt;25),ROUND(Table1[[#This Row],[ACTUAL SALARY]]*5%,0),0)</f>
        <v>0</v>
      </c>
      <c r="J48" s="8">
        <f>ROUND(Table1[[#This Row],[ACTUAL SALARY]]+Table1[[#This Row],[BONUS]],0)</f>
        <v>14167</v>
      </c>
    </row>
    <row r="49" spans="2:10">
      <c r="B49" s="6">
        <v>47</v>
      </c>
      <c r="C49" s="12" t="s">
        <v>66</v>
      </c>
      <c r="D49" s="8" t="s">
        <v>14</v>
      </c>
      <c r="E49" s="7" t="s">
        <v>15</v>
      </c>
      <c r="F49" s="9">
        <f t="shared" si="0"/>
        <v>35000</v>
      </c>
      <c r="G49" s="13">
        <v>9</v>
      </c>
      <c r="H49" s="8">
        <f>ROUND(Table1[[#This Row],[Monthly Salary]]/30*Table1[[#This Row],[Days Worked]],0)</f>
        <v>10500</v>
      </c>
      <c r="I49" s="8">
        <f>IF(AND(Table1[[#This Row],[Monthly Salary]]&gt;18000,Table1[[#This Row],[Days Worked]]&gt;25),ROUND(Table1[[#This Row],[ACTUAL SALARY]]*5%,0),0)</f>
        <v>0</v>
      </c>
      <c r="J49" s="8">
        <f>ROUND(Table1[[#This Row],[ACTUAL SALARY]]+Table1[[#This Row],[BONUS]],0)</f>
        <v>10500</v>
      </c>
    </row>
    <row r="50" spans="2:10">
      <c r="B50" s="6">
        <v>48</v>
      </c>
      <c r="C50" s="12" t="s">
        <v>67</v>
      </c>
      <c r="D50" s="8" t="s">
        <v>17</v>
      </c>
      <c r="E50" s="7" t="s">
        <v>18</v>
      </c>
      <c r="F50" s="9">
        <f t="shared" si="0"/>
        <v>18000</v>
      </c>
      <c r="G50" s="13">
        <v>21</v>
      </c>
      <c r="H50" s="8">
        <f>ROUND(Table1[[#This Row],[Monthly Salary]]/30*Table1[[#This Row],[Days Worked]],0)</f>
        <v>12600</v>
      </c>
      <c r="I50" s="8">
        <f>IF(AND(Table1[[#This Row],[Monthly Salary]]&gt;18000,Table1[[#This Row],[Days Worked]]&gt;25),ROUND(Table1[[#This Row],[ACTUAL SALARY]]*5%,0),0)</f>
        <v>0</v>
      </c>
      <c r="J50" s="8">
        <f>ROUND(Table1[[#This Row],[ACTUAL SALARY]]+Table1[[#This Row],[BONUS]],0)</f>
        <v>12600</v>
      </c>
    </row>
    <row r="51" spans="2:10">
      <c r="B51" s="6">
        <v>49</v>
      </c>
      <c r="C51" s="12" t="s">
        <v>68</v>
      </c>
      <c r="D51" s="8" t="s">
        <v>10</v>
      </c>
      <c r="E51" s="7" t="s">
        <v>20</v>
      </c>
      <c r="F51" s="9">
        <f t="shared" si="0"/>
        <v>25000</v>
      </c>
      <c r="G51" s="13">
        <v>4</v>
      </c>
      <c r="H51" s="8">
        <f>ROUND(Table1[[#This Row],[Monthly Salary]]/30*Table1[[#This Row],[Days Worked]],0)</f>
        <v>3333</v>
      </c>
      <c r="I51" s="8">
        <f>IF(AND(Table1[[#This Row],[Monthly Salary]]&gt;18000,Table1[[#This Row],[Days Worked]]&gt;25),ROUND(Table1[[#This Row],[ACTUAL SALARY]]*5%,0),0)</f>
        <v>0</v>
      </c>
      <c r="J51" s="8">
        <f>ROUND(Table1[[#This Row],[ACTUAL SALARY]]+Table1[[#This Row],[BONUS]],0)</f>
        <v>3333</v>
      </c>
    </row>
    <row r="52" spans="2:10">
      <c r="B52" s="6">
        <v>50</v>
      </c>
      <c r="C52" s="12" t="s">
        <v>69</v>
      </c>
      <c r="D52" s="8" t="s">
        <v>14</v>
      </c>
      <c r="E52" s="7" t="s">
        <v>22</v>
      </c>
      <c r="F52" s="9">
        <f t="shared" si="0"/>
        <v>35000</v>
      </c>
      <c r="G52" s="13">
        <v>25</v>
      </c>
      <c r="H52" s="8">
        <f>ROUND(Table1[[#This Row],[Monthly Salary]]/30*Table1[[#This Row],[Days Worked]],0)</f>
        <v>29167</v>
      </c>
      <c r="I52" s="8">
        <f>IF(AND(Table1[[#This Row],[Monthly Salary]]&gt;18000,Table1[[#This Row],[Days Worked]]&gt;25),ROUND(Table1[[#This Row],[ACTUAL SALARY]]*5%,0),0)</f>
        <v>0</v>
      </c>
      <c r="J52" s="8">
        <f>ROUND(Table1[[#This Row],[ACTUAL SALARY]]+Table1[[#This Row],[BONUS]],0)</f>
        <v>29167</v>
      </c>
    </row>
    <row r="53" spans="2:10">
      <c r="B53" s="6">
        <v>51</v>
      </c>
      <c r="C53" s="12" t="s">
        <v>70</v>
      </c>
      <c r="D53" s="8" t="s">
        <v>17</v>
      </c>
      <c r="E53" s="7" t="s">
        <v>24</v>
      </c>
      <c r="F53" s="9">
        <f t="shared" si="0"/>
        <v>18000</v>
      </c>
      <c r="G53" s="13">
        <v>24</v>
      </c>
      <c r="H53" s="8">
        <f>ROUND(Table1[[#This Row],[Monthly Salary]]/30*Table1[[#This Row],[Days Worked]],0)</f>
        <v>14400</v>
      </c>
      <c r="I53" s="8">
        <f>IF(AND(Table1[[#This Row],[Monthly Salary]]&gt;18000,Table1[[#This Row],[Days Worked]]&gt;25),ROUND(Table1[[#This Row],[ACTUAL SALARY]]*5%,0),0)</f>
        <v>0</v>
      </c>
      <c r="J53" s="8">
        <f>ROUND(Table1[[#This Row],[ACTUAL SALARY]]+Table1[[#This Row],[BONUS]],0)</f>
        <v>14400</v>
      </c>
    </row>
    <row r="54" spans="2:10">
      <c r="B54" s="6">
        <v>52</v>
      </c>
      <c r="C54" s="12" t="s">
        <v>71</v>
      </c>
      <c r="D54" s="8" t="s">
        <v>10</v>
      </c>
      <c r="E54" s="7" t="s">
        <v>11</v>
      </c>
      <c r="F54" s="9">
        <f t="shared" si="0"/>
        <v>25000</v>
      </c>
      <c r="G54" s="13">
        <v>23</v>
      </c>
      <c r="H54" s="8">
        <f>ROUND(Table1[[#This Row],[Monthly Salary]]/30*Table1[[#This Row],[Days Worked]],0)</f>
        <v>19167</v>
      </c>
      <c r="I54" s="8">
        <f>IF(AND(Table1[[#This Row],[Monthly Salary]]&gt;18000,Table1[[#This Row],[Days Worked]]&gt;25),ROUND(Table1[[#This Row],[ACTUAL SALARY]]*5%,0),0)</f>
        <v>0</v>
      </c>
      <c r="J54" s="8">
        <f>ROUND(Table1[[#This Row],[ACTUAL SALARY]]+Table1[[#This Row],[BONUS]],0)</f>
        <v>19167</v>
      </c>
    </row>
    <row r="55" spans="2:10">
      <c r="B55" s="6">
        <v>53</v>
      </c>
      <c r="C55" s="12" t="s">
        <v>72</v>
      </c>
      <c r="D55" s="8" t="s">
        <v>14</v>
      </c>
      <c r="E55" s="7" t="s">
        <v>15</v>
      </c>
      <c r="F55" s="9">
        <f t="shared" si="0"/>
        <v>35000</v>
      </c>
      <c r="G55" s="13">
        <v>27</v>
      </c>
      <c r="H55" s="8">
        <f>ROUND(Table1[[#This Row],[Monthly Salary]]/30*Table1[[#This Row],[Days Worked]],0)</f>
        <v>31500</v>
      </c>
      <c r="I55" s="8">
        <f>IF(AND(Table1[[#This Row],[Monthly Salary]]&gt;18000,Table1[[#This Row],[Days Worked]]&gt;25),ROUND(Table1[[#This Row],[ACTUAL SALARY]]*5%,0),0)</f>
        <v>1575</v>
      </c>
      <c r="J55" s="8">
        <f>ROUND(Table1[[#This Row],[ACTUAL SALARY]]+Table1[[#This Row],[BONUS]],0)</f>
        <v>33075</v>
      </c>
    </row>
    <row r="56" spans="2:10">
      <c r="B56" s="6">
        <v>54</v>
      </c>
      <c r="C56" s="12" t="s">
        <v>73</v>
      </c>
      <c r="D56" s="8" t="s">
        <v>17</v>
      </c>
      <c r="E56" s="7" t="s">
        <v>28</v>
      </c>
      <c r="F56" s="9">
        <f t="shared" si="0"/>
        <v>18000</v>
      </c>
      <c r="G56" s="13">
        <v>28</v>
      </c>
      <c r="H56" s="8">
        <f>ROUND(Table1[[#This Row],[Monthly Salary]]/30*Table1[[#This Row],[Days Worked]],0)</f>
        <v>16800</v>
      </c>
      <c r="I56" s="8">
        <f>IF(AND(Table1[[#This Row],[Monthly Salary]]&gt;18000,Table1[[#This Row],[Days Worked]]&gt;25),ROUND(Table1[[#This Row],[ACTUAL SALARY]]*5%,0),0)</f>
        <v>0</v>
      </c>
      <c r="J56" s="8">
        <f>ROUND(Table1[[#This Row],[ACTUAL SALARY]]+Table1[[#This Row],[BONUS]],0)</f>
        <v>16800</v>
      </c>
    </row>
    <row r="57" spans="2:10">
      <c r="B57" s="6">
        <v>55</v>
      </c>
      <c r="C57" s="12" t="s">
        <v>74</v>
      </c>
      <c r="D57" s="8" t="s">
        <v>10</v>
      </c>
      <c r="E57" s="7" t="s">
        <v>11</v>
      </c>
      <c r="F57" s="9">
        <f t="shared" si="0"/>
        <v>25000</v>
      </c>
      <c r="G57" s="13">
        <v>29</v>
      </c>
      <c r="H57" s="8">
        <f>ROUND(Table1[[#This Row],[Monthly Salary]]/30*Table1[[#This Row],[Days Worked]],0)</f>
        <v>24167</v>
      </c>
      <c r="I57" s="8">
        <f>IF(AND(Table1[[#This Row],[Monthly Salary]]&gt;18000,Table1[[#This Row],[Days Worked]]&gt;25),ROUND(Table1[[#This Row],[ACTUAL SALARY]]*5%,0),0)</f>
        <v>1208</v>
      </c>
      <c r="J57" s="8">
        <f>ROUND(Table1[[#This Row],[ACTUAL SALARY]]+Table1[[#This Row],[BONUS]],0)</f>
        <v>25375</v>
      </c>
    </row>
    <row r="58" spans="2:10">
      <c r="B58" s="6">
        <v>56</v>
      </c>
      <c r="C58" s="12" t="s">
        <v>75</v>
      </c>
      <c r="D58" s="8" t="s">
        <v>14</v>
      </c>
      <c r="E58" s="7" t="s">
        <v>22</v>
      </c>
      <c r="F58" s="9">
        <f t="shared" si="0"/>
        <v>35000</v>
      </c>
      <c r="G58" s="13">
        <v>26</v>
      </c>
      <c r="H58" s="8">
        <f>ROUND(Table1[[#This Row],[Monthly Salary]]/30*Table1[[#This Row],[Days Worked]],0)</f>
        <v>30333</v>
      </c>
      <c r="I58" s="8">
        <f>IF(AND(Table1[[#This Row],[Monthly Salary]]&gt;18000,Table1[[#This Row],[Days Worked]]&gt;25),ROUND(Table1[[#This Row],[ACTUAL SALARY]]*5%,0),0)</f>
        <v>1517</v>
      </c>
      <c r="J58" s="8">
        <f>ROUND(Table1[[#This Row],[ACTUAL SALARY]]+Table1[[#This Row],[BONUS]],0)</f>
        <v>31850</v>
      </c>
    </row>
    <row r="59" spans="2:10">
      <c r="B59" s="6">
        <v>57</v>
      </c>
      <c r="C59" s="12" t="s">
        <v>76</v>
      </c>
      <c r="D59" s="8" t="s">
        <v>17</v>
      </c>
      <c r="E59" s="7" t="s">
        <v>18</v>
      </c>
      <c r="F59" s="9">
        <f t="shared" si="0"/>
        <v>18000</v>
      </c>
      <c r="G59" s="13">
        <v>25</v>
      </c>
      <c r="H59" s="8">
        <f>ROUND(Table1[[#This Row],[Monthly Salary]]/30*Table1[[#This Row],[Days Worked]],0)</f>
        <v>15000</v>
      </c>
      <c r="I59" s="8">
        <f>IF(AND(Table1[[#This Row],[Monthly Salary]]&gt;18000,Table1[[#This Row],[Days Worked]]&gt;25),ROUND(Table1[[#This Row],[ACTUAL SALARY]]*5%,0),0)</f>
        <v>0</v>
      </c>
      <c r="J59" s="8">
        <f>ROUND(Table1[[#This Row],[ACTUAL SALARY]]+Table1[[#This Row],[BONUS]],0)</f>
        <v>15000</v>
      </c>
    </row>
    <row r="60" spans="2:10">
      <c r="B60" s="6">
        <v>58</v>
      </c>
      <c r="C60" s="12" t="s">
        <v>77</v>
      </c>
      <c r="D60" s="8" t="s">
        <v>10</v>
      </c>
      <c r="E60" s="7" t="s">
        <v>11</v>
      </c>
      <c r="F60" s="9">
        <f t="shared" si="0"/>
        <v>25000</v>
      </c>
      <c r="G60" s="13">
        <v>24</v>
      </c>
      <c r="H60" s="8">
        <f>ROUND(Table1[[#This Row],[Monthly Salary]]/30*Table1[[#This Row],[Days Worked]],0)</f>
        <v>20000</v>
      </c>
      <c r="I60" s="8">
        <f>IF(AND(Table1[[#This Row],[Monthly Salary]]&gt;18000,Table1[[#This Row],[Days Worked]]&gt;25),ROUND(Table1[[#This Row],[ACTUAL SALARY]]*5%,0),0)</f>
        <v>0</v>
      </c>
      <c r="J60" s="8">
        <f>ROUND(Table1[[#This Row],[ACTUAL SALARY]]+Table1[[#This Row],[BONUS]],0)</f>
        <v>20000</v>
      </c>
    </row>
    <row r="61" spans="2:10">
      <c r="B61" s="6">
        <v>59</v>
      </c>
      <c r="C61" s="12" t="s">
        <v>78</v>
      </c>
      <c r="D61" s="8" t="s">
        <v>14</v>
      </c>
      <c r="E61" s="7" t="s">
        <v>15</v>
      </c>
      <c r="F61" s="9">
        <f t="shared" si="0"/>
        <v>35000</v>
      </c>
      <c r="G61" s="7">
        <v>26</v>
      </c>
      <c r="H61" s="8">
        <f>ROUND(Table1[[#This Row],[Monthly Salary]]/30*Table1[[#This Row],[Days Worked]],0)</f>
        <v>30333</v>
      </c>
      <c r="I61" s="8">
        <f>IF(AND(Table1[[#This Row],[Monthly Salary]]&gt;18000,Table1[[#This Row],[Days Worked]]&gt;25),ROUND(Table1[[#This Row],[ACTUAL SALARY]]*5%,0),0)</f>
        <v>1517</v>
      </c>
      <c r="J61" s="8">
        <f>ROUND(Table1[[#This Row],[ACTUAL SALARY]]+Table1[[#This Row],[BONUS]],0)</f>
        <v>31850</v>
      </c>
    </row>
    <row r="62" spans="2:10">
      <c r="B62" s="6">
        <v>60</v>
      </c>
      <c r="C62" s="12" t="s">
        <v>79</v>
      </c>
      <c r="D62" s="8" t="s">
        <v>17</v>
      </c>
      <c r="E62" s="7" t="s">
        <v>18</v>
      </c>
      <c r="F62" s="9">
        <f t="shared" si="0"/>
        <v>18000</v>
      </c>
      <c r="G62" s="7">
        <v>24</v>
      </c>
      <c r="H62" s="8">
        <f>ROUND(Table1[[#This Row],[Monthly Salary]]/30*Table1[[#This Row],[Days Worked]],0)</f>
        <v>14400</v>
      </c>
      <c r="I62" s="8">
        <f>IF(AND(Table1[[#This Row],[Monthly Salary]]&gt;18000,Table1[[#This Row],[Days Worked]]&gt;25),ROUND(Table1[[#This Row],[ACTUAL SALARY]]*5%,0),0)</f>
        <v>0</v>
      </c>
      <c r="J62" s="8">
        <f>ROUND(Table1[[#This Row],[ACTUAL SALARY]]+Table1[[#This Row],[BONUS]],0)</f>
        <v>14400</v>
      </c>
    </row>
    <row r="63" spans="2:10">
      <c r="B63" s="6">
        <v>61</v>
      </c>
      <c r="C63" s="12" t="s">
        <v>79</v>
      </c>
      <c r="D63" s="8" t="s">
        <v>10</v>
      </c>
      <c r="E63" s="7" t="s">
        <v>11</v>
      </c>
      <c r="F63" s="9">
        <f t="shared" si="0"/>
        <v>25000</v>
      </c>
      <c r="G63" s="7">
        <v>22</v>
      </c>
      <c r="H63" s="8">
        <f>ROUND(Table1[[#This Row],[Monthly Salary]]/30*Table1[[#This Row],[Days Worked]],0)</f>
        <v>18333</v>
      </c>
      <c r="I63" s="8">
        <f>IF(AND(Table1[[#This Row],[Monthly Salary]]&gt;18000,Table1[[#This Row],[Days Worked]]&gt;25),ROUND(Table1[[#This Row],[ACTUAL SALARY]]*5%,0),0)</f>
        <v>0</v>
      </c>
      <c r="J63" s="8">
        <f>ROUND(Table1[[#This Row],[ACTUAL SALARY]]+Table1[[#This Row],[BONUS]],0)</f>
        <v>18333</v>
      </c>
    </row>
    <row r="64" spans="2:10">
      <c r="B64" s="6">
        <v>62</v>
      </c>
      <c r="C64" s="12" t="s">
        <v>80</v>
      </c>
      <c r="D64" s="8" t="s">
        <v>14</v>
      </c>
      <c r="E64" s="7" t="s">
        <v>15</v>
      </c>
      <c r="F64" s="9">
        <f t="shared" si="0"/>
        <v>35000</v>
      </c>
      <c r="G64" s="7">
        <v>27</v>
      </c>
      <c r="H64" s="8">
        <f>ROUND(Table1[[#This Row],[Monthly Salary]]/30*Table1[[#This Row],[Days Worked]],0)</f>
        <v>31500</v>
      </c>
      <c r="I64" s="8">
        <f>IF(AND(Table1[[#This Row],[Monthly Salary]]&gt;18000,Table1[[#This Row],[Days Worked]]&gt;25),ROUND(Table1[[#This Row],[ACTUAL SALARY]]*5%,0),0)</f>
        <v>1575</v>
      </c>
      <c r="J64" s="8">
        <f>ROUND(Table1[[#This Row],[ACTUAL SALARY]]+Table1[[#This Row],[BONUS]],0)</f>
        <v>33075</v>
      </c>
    </row>
    <row r="65" spans="2:10">
      <c r="B65" s="6">
        <v>63</v>
      </c>
      <c r="C65" s="12" t="s">
        <v>80</v>
      </c>
      <c r="D65" s="8" t="s">
        <v>17</v>
      </c>
      <c r="E65" s="7" t="s">
        <v>18</v>
      </c>
      <c r="F65" s="9">
        <f t="shared" si="0"/>
        <v>18000</v>
      </c>
      <c r="G65" s="7">
        <v>25</v>
      </c>
      <c r="H65" s="8">
        <f>ROUND(Table1[[#This Row],[Monthly Salary]]/30*Table1[[#This Row],[Days Worked]],0)</f>
        <v>15000</v>
      </c>
      <c r="I65" s="8">
        <f>IF(AND(Table1[[#This Row],[Monthly Salary]]&gt;18000,Table1[[#This Row],[Days Worked]]&gt;25),ROUND(Table1[[#This Row],[ACTUAL SALARY]]*5%,0),0)</f>
        <v>0</v>
      </c>
      <c r="J65" s="8">
        <f>ROUND(Table1[[#This Row],[ACTUAL SALARY]]+Table1[[#This Row],[BONUS]],0)</f>
        <v>15000</v>
      </c>
    </row>
    <row r="66" spans="2:10">
      <c r="B66" s="6">
        <v>64</v>
      </c>
      <c r="C66" s="12" t="s">
        <v>81</v>
      </c>
      <c r="D66" s="8" t="s">
        <v>10</v>
      </c>
      <c r="E66" s="7" t="s">
        <v>20</v>
      </c>
      <c r="F66" s="9">
        <f t="shared" si="0"/>
        <v>25000</v>
      </c>
      <c r="G66" s="7">
        <v>23</v>
      </c>
      <c r="H66" s="8">
        <f>ROUND(Table1[[#This Row],[Monthly Salary]]/30*Table1[[#This Row],[Days Worked]],0)</f>
        <v>19167</v>
      </c>
      <c r="I66" s="8">
        <f>IF(AND(Table1[[#This Row],[Monthly Salary]]&gt;18000,Table1[[#This Row],[Days Worked]]&gt;25),ROUND(Table1[[#This Row],[ACTUAL SALARY]]*5%,0),0)</f>
        <v>0</v>
      </c>
      <c r="J66" s="8">
        <f>ROUND(Table1[[#This Row],[ACTUAL SALARY]]+Table1[[#This Row],[BONUS]],0)</f>
        <v>19167</v>
      </c>
    </row>
    <row r="67" spans="2:10">
      <c r="B67" s="6">
        <v>65</v>
      </c>
      <c r="C67" s="12" t="s">
        <v>82</v>
      </c>
      <c r="D67" s="8" t="s">
        <v>14</v>
      </c>
      <c r="E67" s="7" t="s">
        <v>22</v>
      </c>
      <c r="F67" s="9">
        <f t="shared" si="0"/>
        <v>35000</v>
      </c>
      <c r="G67" s="13">
        <v>20</v>
      </c>
      <c r="H67" s="8">
        <f>ROUND(Table1[[#This Row],[Monthly Salary]]/30*Table1[[#This Row],[Days Worked]],0)</f>
        <v>23333</v>
      </c>
      <c r="I67" s="8">
        <f>IF(AND(Table1[[#This Row],[Monthly Salary]]&gt;18000,Table1[[#This Row],[Days Worked]]&gt;25),ROUND(Table1[[#This Row],[ACTUAL SALARY]]*5%,0),0)</f>
        <v>0</v>
      </c>
      <c r="J67" s="8">
        <f>ROUND(Table1[[#This Row],[ACTUAL SALARY]]+Table1[[#This Row],[BONUS]],0)</f>
        <v>23333</v>
      </c>
    </row>
    <row r="68" spans="2:10">
      <c r="B68" s="6">
        <v>66</v>
      </c>
      <c r="C68" s="12" t="s">
        <v>83</v>
      </c>
      <c r="D68" s="8" t="s">
        <v>17</v>
      </c>
      <c r="E68" s="7" t="s">
        <v>24</v>
      </c>
      <c r="F68" s="9">
        <f t="shared" ref="F68:F102" si="1">VLOOKUP(D68,$M$3:$N$6,2,0)</f>
        <v>18000</v>
      </c>
      <c r="G68" s="13">
        <v>24</v>
      </c>
      <c r="H68" s="8">
        <f>ROUND(Table1[[#This Row],[Monthly Salary]]/30*Table1[[#This Row],[Days Worked]],0)</f>
        <v>14400</v>
      </c>
      <c r="I68" s="8">
        <f>IF(AND(Table1[[#This Row],[Monthly Salary]]&gt;18000,Table1[[#This Row],[Days Worked]]&gt;25),ROUND(Table1[[#This Row],[ACTUAL SALARY]]*5%,0),0)</f>
        <v>0</v>
      </c>
      <c r="J68" s="8">
        <f>ROUND(Table1[[#This Row],[ACTUAL SALARY]]+Table1[[#This Row],[BONUS]],0)</f>
        <v>14400</v>
      </c>
    </row>
    <row r="69" spans="2:10">
      <c r="B69" s="6">
        <v>67</v>
      </c>
      <c r="C69" s="12" t="s">
        <v>84</v>
      </c>
      <c r="D69" s="8" t="s">
        <v>10</v>
      </c>
      <c r="E69" s="7" t="s">
        <v>11</v>
      </c>
      <c r="F69" s="9">
        <f t="shared" si="1"/>
        <v>25000</v>
      </c>
      <c r="G69" s="13">
        <v>18</v>
      </c>
      <c r="H69" s="8">
        <f>ROUND(Table1[[#This Row],[Monthly Salary]]/30*Table1[[#This Row],[Days Worked]],0)</f>
        <v>15000</v>
      </c>
      <c r="I69" s="8">
        <f>IF(AND(Table1[[#This Row],[Monthly Salary]]&gt;18000,Table1[[#This Row],[Days Worked]]&gt;25),ROUND(Table1[[#This Row],[ACTUAL SALARY]]*5%,0),0)</f>
        <v>0</v>
      </c>
      <c r="J69" s="8">
        <f>ROUND(Table1[[#This Row],[ACTUAL SALARY]]+Table1[[#This Row],[BONUS]],0)</f>
        <v>15000</v>
      </c>
    </row>
    <row r="70" spans="2:10">
      <c r="B70" s="6">
        <v>68</v>
      </c>
      <c r="C70" s="12" t="s">
        <v>85</v>
      </c>
      <c r="D70" s="8" t="s">
        <v>14</v>
      </c>
      <c r="E70" s="7" t="s">
        <v>15</v>
      </c>
      <c r="F70" s="9">
        <f t="shared" si="1"/>
        <v>35000</v>
      </c>
      <c r="G70" s="13">
        <v>17</v>
      </c>
      <c r="H70" s="8">
        <f>ROUND(Table1[[#This Row],[Monthly Salary]]/30*Table1[[#This Row],[Days Worked]],0)</f>
        <v>19833</v>
      </c>
      <c r="I70" s="8">
        <f>IF(AND(Table1[[#This Row],[Monthly Salary]]&gt;18000,Table1[[#This Row],[Days Worked]]&gt;25),ROUND(Table1[[#This Row],[ACTUAL SALARY]]*5%,0),0)</f>
        <v>0</v>
      </c>
      <c r="J70" s="8">
        <f>ROUND(Table1[[#This Row],[ACTUAL SALARY]]+Table1[[#This Row],[BONUS]],0)</f>
        <v>19833</v>
      </c>
    </row>
    <row r="71" spans="2:10">
      <c r="B71" s="6">
        <v>69</v>
      </c>
      <c r="C71" s="12" t="s">
        <v>86</v>
      </c>
      <c r="D71" s="8" t="s">
        <v>17</v>
      </c>
      <c r="E71" s="7" t="s">
        <v>28</v>
      </c>
      <c r="F71" s="9">
        <f t="shared" si="1"/>
        <v>18000</v>
      </c>
      <c r="G71" s="13">
        <v>21</v>
      </c>
      <c r="H71" s="8">
        <f>ROUND(Table1[[#This Row],[Monthly Salary]]/30*Table1[[#This Row],[Days Worked]],0)</f>
        <v>12600</v>
      </c>
      <c r="I71" s="8">
        <f>IF(AND(Table1[[#This Row],[Monthly Salary]]&gt;18000,Table1[[#This Row],[Days Worked]]&gt;25),ROUND(Table1[[#This Row],[ACTUAL SALARY]]*5%,0),0)</f>
        <v>0</v>
      </c>
      <c r="J71" s="8">
        <f>ROUND(Table1[[#This Row],[ACTUAL SALARY]]+Table1[[#This Row],[BONUS]],0)</f>
        <v>12600</v>
      </c>
    </row>
    <row r="72" spans="2:10">
      <c r="B72" s="6">
        <v>70</v>
      </c>
      <c r="C72" s="12" t="s">
        <v>87</v>
      </c>
      <c r="D72" s="8" t="s">
        <v>10</v>
      </c>
      <c r="E72" s="7" t="s">
        <v>11</v>
      </c>
      <c r="F72" s="9">
        <f t="shared" si="1"/>
        <v>25000</v>
      </c>
      <c r="G72" s="13">
        <v>23</v>
      </c>
      <c r="H72" s="8">
        <f>ROUND(Table1[[#This Row],[Monthly Salary]]/30*Table1[[#This Row],[Days Worked]],0)</f>
        <v>19167</v>
      </c>
      <c r="I72" s="8">
        <f>IF(AND(Table1[[#This Row],[Monthly Salary]]&gt;18000,Table1[[#This Row],[Days Worked]]&gt;25),ROUND(Table1[[#This Row],[ACTUAL SALARY]]*5%,0),0)</f>
        <v>0</v>
      </c>
      <c r="J72" s="8">
        <f>ROUND(Table1[[#This Row],[ACTUAL SALARY]]+Table1[[#This Row],[BONUS]],0)</f>
        <v>19167</v>
      </c>
    </row>
    <row r="73" spans="2:10">
      <c r="B73" s="6">
        <v>71</v>
      </c>
      <c r="C73" s="12" t="s">
        <v>88</v>
      </c>
      <c r="D73" s="8" t="s">
        <v>14</v>
      </c>
      <c r="E73" s="7" t="s">
        <v>22</v>
      </c>
      <c r="F73" s="9">
        <f t="shared" si="1"/>
        <v>35000</v>
      </c>
      <c r="G73" s="13">
        <v>26</v>
      </c>
      <c r="H73" s="8">
        <f>ROUND(Table1[[#This Row],[Monthly Salary]]/30*Table1[[#This Row],[Days Worked]],0)</f>
        <v>30333</v>
      </c>
      <c r="I73" s="8">
        <f>IF(AND(Table1[[#This Row],[Monthly Salary]]&gt;18000,Table1[[#This Row],[Days Worked]]&gt;25),ROUND(Table1[[#This Row],[ACTUAL SALARY]]*5%,0),0)</f>
        <v>1517</v>
      </c>
      <c r="J73" s="8">
        <f>ROUND(Table1[[#This Row],[ACTUAL SALARY]]+Table1[[#This Row],[BONUS]],0)</f>
        <v>31850</v>
      </c>
    </row>
    <row r="74" spans="2:10">
      <c r="B74" s="6">
        <v>72</v>
      </c>
      <c r="C74" s="12" t="s">
        <v>89</v>
      </c>
      <c r="D74" s="8" t="s">
        <v>17</v>
      </c>
      <c r="E74" s="7" t="s">
        <v>18</v>
      </c>
      <c r="F74" s="9">
        <f t="shared" si="1"/>
        <v>18000</v>
      </c>
      <c r="G74" s="13">
        <v>29</v>
      </c>
      <c r="H74" s="8">
        <f>ROUND(Table1[[#This Row],[Monthly Salary]]/30*Table1[[#This Row],[Days Worked]],0)</f>
        <v>17400</v>
      </c>
      <c r="I74" s="8">
        <f>IF(AND(Table1[[#This Row],[Monthly Salary]]&gt;18000,Table1[[#This Row],[Days Worked]]&gt;25),ROUND(Table1[[#This Row],[ACTUAL SALARY]]*5%,0),0)</f>
        <v>0</v>
      </c>
      <c r="J74" s="8">
        <f>ROUND(Table1[[#This Row],[ACTUAL SALARY]]+Table1[[#This Row],[BONUS]],0)</f>
        <v>17400</v>
      </c>
    </row>
    <row r="75" spans="2:10">
      <c r="B75" s="6">
        <v>73</v>
      </c>
      <c r="C75" s="12" t="s">
        <v>90</v>
      </c>
      <c r="D75" s="8" t="s">
        <v>10</v>
      </c>
      <c r="E75" s="7" t="s">
        <v>11</v>
      </c>
      <c r="F75" s="9">
        <f t="shared" si="1"/>
        <v>25000</v>
      </c>
      <c r="G75" s="13">
        <v>14</v>
      </c>
      <c r="H75" s="8">
        <f>ROUND(Table1[[#This Row],[Monthly Salary]]/30*Table1[[#This Row],[Days Worked]],0)</f>
        <v>11667</v>
      </c>
      <c r="I75" s="8">
        <f>IF(AND(Table1[[#This Row],[Monthly Salary]]&gt;18000,Table1[[#This Row],[Days Worked]]&gt;25),ROUND(Table1[[#This Row],[ACTUAL SALARY]]*5%,0),0)</f>
        <v>0</v>
      </c>
      <c r="J75" s="8">
        <f>ROUND(Table1[[#This Row],[ACTUAL SALARY]]+Table1[[#This Row],[BONUS]],0)</f>
        <v>11667</v>
      </c>
    </row>
    <row r="76" spans="2:10">
      <c r="B76" s="6">
        <v>74</v>
      </c>
      <c r="C76" s="12" t="s">
        <v>91</v>
      </c>
      <c r="D76" s="8" t="s">
        <v>14</v>
      </c>
      <c r="E76" s="7" t="s">
        <v>15</v>
      </c>
      <c r="F76" s="9">
        <f t="shared" si="1"/>
        <v>35000</v>
      </c>
      <c r="G76" s="13">
        <v>25</v>
      </c>
      <c r="H76" s="8">
        <f>ROUND(Table1[[#This Row],[Monthly Salary]]/30*Table1[[#This Row],[Days Worked]],0)</f>
        <v>29167</v>
      </c>
      <c r="I76" s="8">
        <f>IF(AND(Table1[[#This Row],[Monthly Salary]]&gt;18000,Table1[[#This Row],[Days Worked]]&gt;25),ROUND(Table1[[#This Row],[ACTUAL SALARY]]*5%,0),0)</f>
        <v>0</v>
      </c>
      <c r="J76" s="8">
        <f>ROUND(Table1[[#This Row],[ACTUAL SALARY]]+Table1[[#This Row],[BONUS]],0)</f>
        <v>29167</v>
      </c>
    </row>
    <row r="77" spans="2:10">
      <c r="B77" s="6">
        <v>75</v>
      </c>
      <c r="C77" s="12" t="s">
        <v>91</v>
      </c>
      <c r="D77" s="8" t="s">
        <v>17</v>
      </c>
      <c r="E77" s="7" t="s">
        <v>18</v>
      </c>
      <c r="F77" s="9">
        <f t="shared" si="1"/>
        <v>18000</v>
      </c>
      <c r="G77" s="13">
        <v>27</v>
      </c>
      <c r="H77" s="8">
        <f>ROUND(Table1[[#This Row],[Monthly Salary]]/30*Table1[[#This Row],[Days Worked]],0)</f>
        <v>16200</v>
      </c>
      <c r="I77" s="8">
        <f>IF(AND(Table1[[#This Row],[Monthly Salary]]&gt;18000,Table1[[#This Row],[Days Worked]]&gt;25),ROUND(Table1[[#This Row],[ACTUAL SALARY]]*5%,0),0)</f>
        <v>0</v>
      </c>
      <c r="J77" s="8">
        <f>ROUND(Table1[[#This Row],[ACTUAL SALARY]]+Table1[[#This Row],[BONUS]],0)</f>
        <v>16200</v>
      </c>
    </row>
    <row r="78" spans="2:10">
      <c r="B78" s="6">
        <v>76</v>
      </c>
      <c r="C78" s="12" t="s">
        <v>92</v>
      </c>
      <c r="D78" s="8" t="s">
        <v>10</v>
      </c>
      <c r="E78" s="7" t="s">
        <v>11</v>
      </c>
      <c r="F78" s="9">
        <f t="shared" si="1"/>
        <v>25000</v>
      </c>
      <c r="G78" s="13">
        <v>19</v>
      </c>
      <c r="H78" s="8">
        <f>ROUND(Table1[[#This Row],[Monthly Salary]]/30*Table1[[#This Row],[Days Worked]],0)</f>
        <v>15833</v>
      </c>
      <c r="I78" s="8">
        <f>IF(AND(Table1[[#This Row],[Monthly Salary]]&gt;18000,Table1[[#This Row],[Days Worked]]&gt;25),ROUND(Table1[[#This Row],[ACTUAL SALARY]]*5%,0),0)</f>
        <v>0</v>
      </c>
      <c r="J78" s="8">
        <f>ROUND(Table1[[#This Row],[ACTUAL SALARY]]+Table1[[#This Row],[BONUS]],0)</f>
        <v>15833</v>
      </c>
    </row>
    <row r="79" spans="2:10">
      <c r="B79" s="6">
        <v>77</v>
      </c>
      <c r="C79" s="12" t="s">
        <v>92</v>
      </c>
      <c r="D79" s="8" t="s">
        <v>14</v>
      </c>
      <c r="E79" s="7" t="s">
        <v>15</v>
      </c>
      <c r="F79" s="9">
        <f t="shared" si="1"/>
        <v>35000</v>
      </c>
      <c r="G79" s="13">
        <v>22</v>
      </c>
      <c r="H79" s="8">
        <f>ROUND(Table1[[#This Row],[Monthly Salary]]/30*Table1[[#This Row],[Days Worked]],0)</f>
        <v>25667</v>
      </c>
      <c r="I79" s="8">
        <f>IF(AND(Table1[[#This Row],[Monthly Salary]]&gt;18000,Table1[[#This Row],[Days Worked]]&gt;25),ROUND(Table1[[#This Row],[ACTUAL SALARY]]*5%,0),0)</f>
        <v>0</v>
      </c>
      <c r="J79" s="8">
        <f>ROUND(Table1[[#This Row],[ACTUAL SALARY]]+Table1[[#This Row],[BONUS]],0)</f>
        <v>25667</v>
      </c>
    </row>
    <row r="80" spans="2:10">
      <c r="B80" s="6">
        <v>78</v>
      </c>
      <c r="C80" s="12" t="s">
        <v>93</v>
      </c>
      <c r="D80" s="8" t="s">
        <v>17</v>
      </c>
      <c r="E80" s="7" t="s">
        <v>18</v>
      </c>
      <c r="F80" s="9">
        <f t="shared" si="1"/>
        <v>18000</v>
      </c>
      <c r="G80" s="13">
        <v>23</v>
      </c>
      <c r="H80" s="8">
        <f>ROUND(Table1[[#This Row],[Monthly Salary]]/30*Table1[[#This Row],[Days Worked]],0)</f>
        <v>13800</v>
      </c>
      <c r="I80" s="8">
        <f>IF(AND(Table1[[#This Row],[Monthly Salary]]&gt;18000,Table1[[#This Row],[Days Worked]]&gt;25),ROUND(Table1[[#This Row],[ACTUAL SALARY]]*5%,0),0)</f>
        <v>0</v>
      </c>
      <c r="J80" s="8">
        <f>ROUND(Table1[[#This Row],[ACTUAL SALARY]]+Table1[[#This Row],[BONUS]],0)</f>
        <v>13800</v>
      </c>
    </row>
    <row r="81" spans="2:10">
      <c r="B81" s="6">
        <v>79</v>
      </c>
      <c r="C81" s="12" t="s">
        <v>94</v>
      </c>
      <c r="D81" s="8" t="s">
        <v>10</v>
      </c>
      <c r="E81" s="7" t="s">
        <v>20</v>
      </c>
      <c r="F81" s="9">
        <f t="shared" si="1"/>
        <v>25000</v>
      </c>
      <c r="G81" s="13">
        <v>28</v>
      </c>
      <c r="H81" s="8">
        <f>ROUND(Table1[[#This Row],[Monthly Salary]]/30*Table1[[#This Row],[Days Worked]],0)</f>
        <v>23333</v>
      </c>
      <c r="I81" s="8">
        <f>IF(AND(Table1[[#This Row],[Monthly Salary]]&gt;18000,Table1[[#This Row],[Days Worked]]&gt;25),ROUND(Table1[[#This Row],[ACTUAL SALARY]]*5%,0),0)</f>
        <v>1167</v>
      </c>
      <c r="J81" s="8">
        <f>ROUND(Table1[[#This Row],[ACTUAL SALARY]]+Table1[[#This Row],[BONUS]],0)</f>
        <v>24500</v>
      </c>
    </row>
    <row r="82" spans="2:10">
      <c r="B82" s="6">
        <v>80</v>
      </c>
      <c r="C82" s="12" t="s">
        <v>95</v>
      </c>
      <c r="D82" s="8" t="s">
        <v>14</v>
      </c>
      <c r="E82" s="7" t="s">
        <v>22</v>
      </c>
      <c r="F82" s="9">
        <f t="shared" si="1"/>
        <v>35000</v>
      </c>
      <c r="G82" s="13">
        <v>22</v>
      </c>
      <c r="H82" s="8">
        <f>ROUND(Table1[[#This Row],[Monthly Salary]]/30*Table1[[#This Row],[Days Worked]],0)</f>
        <v>25667</v>
      </c>
      <c r="I82" s="8">
        <f>IF(AND(Table1[[#This Row],[Monthly Salary]]&gt;18000,Table1[[#This Row],[Days Worked]]&gt;25),ROUND(Table1[[#This Row],[ACTUAL SALARY]]*5%,0),0)</f>
        <v>0</v>
      </c>
      <c r="J82" s="8">
        <f>ROUND(Table1[[#This Row],[ACTUAL SALARY]]+Table1[[#This Row],[BONUS]],0)</f>
        <v>25667</v>
      </c>
    </row>
    <row r="83" spans="2:10">
      <c r="B83" s="6">
        <v>81</v>
      </c>
      <c r="C83" s="12" t="s">
        <v>96</v>
      </c>
      <c r="D83" s="8" t="s">
        <v>17</v>
      </c>
      <c r="E83" s="7" t="s">
        <v>24</v>
      </c>
      <c r="F83" s="9">
        <f t="shared" si="1"/>
        <v>18000</v>
      </c>
      <c r="G83" s="13">
        <v>21</v>
      </c>
      <c r="H83" s="8">
        <f>ROUND(Table1[[#This Row],[Monthly Salary]]/30*Table1[[#This Row],[Days Worked]],0)</f>
        <v>12600</v>
      </c>
      <c r="I83" s="8">
        <f>IF(AND(Table1[[#This Row],[Monthly Salary]]&gt;18000,Table1[[#This Row],[Days Worked]]&gt;25),ROUND(Table1[[#This Row],[ACTUAL SALARY]]*5%,0),0)</f>
        <v>0</v>
      </c>
      <c r="J83" s="8">
        <f>ROUND(Table1[[#This Row],[ACTUAL SALARY]]+Table1[[#This Row],[BONUS]],0)</f>
        <v>12600</v>
      </c>
    </row>
    <row r="84" spans="2:10">
      <c r="B84" s="6">
        <v>82</v>
      </c>
      <c r="C84" s="12" t="s">
        <v>97</v>
      </c>
      <c r="D84" s="8" t="s">
        <v>10</v>
      </c>
      <c r="E84" s="7" t="s">
        <v>11</v>
      </c>
      <c r="F84" s="9">
        <f t="shared" si="1"/>
        <v>25000</v>
      </c>
      <c r="G84" s="13">
        <v>16</v>
      </c>
      <c r="H84" s="8">
        <f>ROUND(Table1[[#This Row],[Monthly Salary]]/30*Table1[[#This Row],[Days Worked]],0)</f>
        <v>13333</v>
      </c>
      <c r="I84" s="8">
        <f>IF(AND(Table1[[#This Row],[Monthly Salary]]&gt;18000,Table1[[#This Row],[Days Worked]]&gt;25),ROUND(Table1[[#This Row],[ACTUAL SALARY]]*5%,0),0)</f>
        <v>0</v>
      </c>
      <c r="J84" s="8">
        <f>ROUND(Table1[[#This Row],[ACTUAL SALARY]]+Table1[[#This Row],[BONUS]],0)</f>
        <v>13333</v>
      </c>
    </row>
    <row r="85" spans="2:10">
      <c r="B85" s="6">
        <v>83</v>
      </c>
      <c r="C85" s="12" t="s">
        <v>98</v>
      </c>
      <c r="D85" s="8" t="s">
        <v>14</v>
      </c>
      <c r="E85" s="7" t="s">
        <v>15</v>
      </c>
      <c r="F85" s="9">
        <f t="shared" si="1"/>
        <v>35000</v>
      </c>
      <c r="G85" s="13">
        <v>15</v>
      </c>
      <c r="H85" s="8">
        <f>ROUND(Table1[[#This Row],[Monthly Salary]]/30*Table1[[#This Row],[Days Worked]],0)</f>
        <v>17500</v>
      </c>
      <c r="I85" s="8">
        <f>IF(AND(Table1[[#This Row],[Monthly Salary]]&gt;18000,Table1[[#This Row],[Days Worked]]&gt;25),ROUND(Table1[[#This Row],[ACTUAL SALARY]]*5%,0),0)</f>
        <v>0</v>
      </c>
      <c r="J85" s="8">
        <f>ROUND(Table1[[#This Row],[ACTUAL SALARY]]+Table1[[#This Row],[BONUS]],0)</f>
        <v>17500</v>
      </c>
    </row>
    <row r="86" spans="2:10">
      <c r="B86" s="6">
        <v>84</v>
      </c>
      <c r="C86" s="12" t="s">
        <v>99</v>
      </c>
      <c r="D86" s="8" t="s">
        <v>17</v>
      </c>
      <c r="E86" s="7" t="s">
        <v>28</v>
      </c>
      <c r="F86" s="9">
        <f t="shared" si="1"/>
        <v>18000</v>
      </c>
      <c r="G86" s="13">
        <v>21</v>
      </c>
      <c r="H86" s="8">
        <f>ROUND(Table1[[#This Row],[Monthly Salary]]/30*Table1[[#This Row],[Days Worked]],0)</f>
        <v>12600</v>
      </c>
      <c r="I86" s="8">
        <f>IF(AND(Table1[[#This Row],[Monthly Salary]]&gt;18000,Table1[[#This Row],[Days Worked]]&gt;25),ROUND(Table1[[#This Row],[ACTUAL SALARY]]*5%,0),0)</f>
        <v>0</v>
      </c>
      <c r="J86" s="8">
        <f>ROUND(Table1[[#This Row],[ACTUAL SALARY]]+Table1[[#This Row],[BONUS]],0)</f>
        <v>12600</v>
      </c>
    </row>
    <row r="87" spans="2:10">
      <c r="B87" s="6">
        <v>85</v>
      </c>
      <c r="C87" s="12" t="s">
        <v>100</v>
      </c>
      <c r="D87" s="8" t="s">
        <v>10</v>
      </c>
      <c r="E87" s="7" t="s">
        <v>11</v>
      </c>
      <c r="F87" s="9">
        <f t="shared" si="1"/>
        <v>25000</v>
      </c>
      <c r="G87" s="13">
        <v>22</v>
      </c>
      <c r="H87" s="8">
        <f>ROUND(Table1[[#This Row],[Monthly Salary]]/30*Table1[[#This Row],[Days Worked]],0)</f>
        <v>18333</v>
      </c>
      <c r="I87" s="8">
        <f>IF(AND(Table1[[#This Row],[Monthly Salary]]&gt;18000,Table1[[#This Row],[Days Worked]]&gt;25),ROUND(Table1[[#This Row],[ACTUAL SALARY]]*5%,0),0)</f>
        <v>0</v>
      </c>
      <c r="J87" s="8">
        <f>ROUND(Table1[[#This Row],[ACTUAL SALARY]]+Table1[[#This Row],[BONUS]],0)</f>
        <v>18333</v>
      </c>
    </row>
    <row r="88" spans="2:10">
      <c r="B88" s="6">
        <v>86</v>
      </c>
      <c r="C88" s="12" t="s">
        <v>101</v>
      </c>
      <c r="D88" s="8" t="s">
        <v>14</v>
      </c>
      <c r="E88" s="7" t="s">
        <v>22</v>
      </c>
      <c r="F88" s="9">
        <f t="shared" si="1"/>
        <v>35000</v>
      </c>
      <c r="G88" s="13">
        <v>24</v>
      </c>
      <c r="H88" s="8">
        <f>ROUND(Table1[[#This Row],[Monthly Salary]]/30*Table1[[#This Row],[Days Worked]],0)</f>
        <v>28000</v>
      </c>
      <c r="I88" s="8">
        <f>IF(AND(Table1[[#This Row],[Monthly Salary]]&gt;18000,Table1[[#This Row],[Days Worked]]&gt;25),ROUND(Table1[[#This Row],[ACTUAL SALARY]]*5%,0),0)</f>
        <v>0</v>
      </c>
      <c r="J88" s="8">
        <f>ROUND(Table1[[#This Row],[ACTUAL SALARY]]+Table1[[#This Row],[BONUS]],0)</f>
        <v>28000</v>
      </c>
    </row>
    <row r="89" spans="2:10">
      <c r="B89" s="6">
        <v>87</v>
      </c>
      <c r="C89" s="12" t="s">
        <v>102</v>
      </c>
      <c r="D89" s="8" t="s">
        <v>17</v>
      </c>
      <c r="E89" s="7" t="s">
        <v>18</v>
      </c>
      <c r="F89" s="9">
        <f t="shared" si="1"/>
        <v>18000</v>
      </c>
      <c r="G89" s="13">
        <v>27</v>
      </c>
      <c r="H89" s="8">
        <f>ROUND(Table1[[#This Row],[Monthly Salary]]/30*Table1[[#This Row],[Days Worked]],0)</f>
        <v>16200</v>
      </c>
      <c r="I89" s="8">
        <f>IF(AND(Table1[[#This Row],[Monthly Salary]]&gt;18000,Table1[[#This Row],[Days Worked]]&gt;25),ROUND(Table1[[#This Row],[ACTUAL SALARY]]*5%,0),0)</f>
        <v>0</v>
      </c>
      <c r="J89" s="8">
        <f>ROUND(Table1[[#This Row],[ACTUAL SALARY]]+Table1[[#This Row],[BONUS]],0)</f>
        <v>16200</v>
      </c>
    </row>
    <row r="90" spans="2:10">
      <c r="B90" s="6">
        <v>88</v>
      </c>
      <c r="C90" s="12" t="s">
        <v>103</v>
      </c>
      <c r="D90" s="8" t="s">
        <v>10</v>
      </c>
      <c r="E90" s="7" t="s">
        <v>11</v>
      </c>
      <c r="F90" s="9">
        <f t="shared" si="1"/>
        <v>25000</v>
      </c>
      <c r="G90" s="13">
        <v>26</v>
      </c>
      <c r="H90" s="8">
        <f>ROUND(Table1[[#This Row],[Monthly Salary]]/30*Table1[[#This Row],[Days Worked]],0)</f>
        <v>21667</v>
      </c>
      <c r="I90" s="8">
        <f>IF(AND(Table1[[#This Row],[Monthly Salary]]&gt;18000,Table1[[#This Row],[Days Worked]]&gt;25),ROUND(Table1[[#This Row],[ACTUAL SALARY]]*5%,0),0)</f>
        <v>1083</v>
      </c>
      <c r="J90" s="8">
        <f>ROUND(Table1[[#This Row],[ACTUAL SALARY]]+Table1[[#This Row],[BONUS]],0)</f>
        <v>22750</v>
      </c>
    </row>
    <row r="91" spans="2:10">
      <c r="B91" s="6">
        <v>89</v>
      </c>
      <c r="C91" s="12" t="s">
        <v>104</v>
      </c>
      <c r="D91" s="8" t="s">
        <v>14</v>
      </c>
      <c r="E91" s="7" t="s">
        <v>15</v>
      </c>
      <c r="F91" s="9">
        <f t="shared" si="1"/>
        <v>35000</v>
      </c>
      <c r="G91" s="13">
        <v>23</v>
      </c>
      <c r="H91" s="8">
        <f>ROUND(Table1[[#This Row],[Monthly Salary]]/30*Table1[[#This Row],[Days Worked]],0)</f>
        <v>26833</v>
      </c>
      <c r="I91" s="8">
        <f>IF(AND(Table1[[#This Row],[Monthly Salary]]&gt;18000,Table1[[#This Row],[Days Worked]]&gt;25),ROUND(Table1[[#This Row],[ACTUAL SALARY]]*5%,0),0)</f>
        <v>0</v>
      </c>
      <c r="J91" s="8">
        <f>ROUND(Table1[[#This Row],[ACTUAL SALARY]]+Table1[[#This Row],[BONUS]],0)</f>
        <v>26833</v>
      </c>
    </row>
    <row r="92" spans="2:10">
      <c r="B92" s="6">
        <v>90</v>
      </c>
      <c r="C92" s="12" t="s">
        <v>104</v>
      </c>
      <c r="D92" s="8" t="s">
        <v>17</v>
      </c>
      <c r="E92" s="7" t="s">
        <v>18</v>
      </c>
      <c r="F92" s="9">
        <f t="shared" si="1"/>
        <v>18000</v>
      </c>
      <c r="G92" s="13">
        <v>29</v>
      </c>
      <c r="H92" s="8">
        <f>ROUND(Table1[[#This Row],[Monthly Salary]]/30*Table1[[#This Row],[Days Worked]],0)</f>
        <v>17400</v>
      </c>
      <c r="I92" s="8">
        <f>IF(AND(Table1[[#This Row],[Monthly Salary]]&gt;18000,Table1[[#This Row],[Days Worked]]&gt;25),ROUND(Table1[[#This Row],[ACTUAL SALARY]]*5%,0),0)</f>
        <v>0</v>
      </c>
      <c r="J92" s="8">
        <f>ROUND(Table1[[#This Row],[ACTUAL SALARY]]+Table1[[#This Row],[BONUS]],0)</f>
        <v>17400</v>
      </c>
    </row>
    <row r="93" spans="2:10">
      <c r="B93" s="6">
        <v>91</v>
      </c>
      <c r="C93" s="12" t="s">
        <v>105</v>
      </c>
      <c r="D93" s="8" t="s">
        <v>10</v>
      </c>
      <c r="E93" s="7" t="s">
        <v>11</v>
      </c>
      <c r="F93" s="9">
        <f t="shared" si="1"/>
        <v>25000</v>
      </c>
      <c r="G93" s="13">
        <v>19</v>
      </c>
      <c r="H93" s="8">
        <f>ROUND(Table1[[#This Row],[Monthly Salary]]/30*Table1[[#This Row],[Days Worked]],0)</f>
        <v>15833</v>
      </c>
      <c r="I93" s="8">
        <f>IF(AND(Table1[[#This Row],[Monthly Salary]]&gt;18000,Table1[[#This Row],[Days Worked]]&gt;25),ROUND(Table1[[#This Row],[ACTUAL SALARY]]*5%,0),0)</f>
        <v>0</v>
      </c>
      <c r="J93" s="8">
        <f>ROUND(Table1[[#This Row],[ACTUAL SALARY]]+Table1[[#This Row],[BONUS]],0)</f>
        <v>15833</v>
      </c>
    </row>
    <row r="94" spans="2:10">
      <c r="B94" s="6">
        <v>92</v>
      </c>
      <c r="C94" s="12" t="s">
        <v>105</v>
      </c>
      <c r="D94" s="8" t="s">
        <v>14</v>
      </c>
      <c r="E94" s="7" t="s">
        <v>15</v>
      </c>
      <c r="F94" s="9">
        <f t="shared" si="1"/>
        <v>35000</v>
      </c>
      <c r="G94" s="13">
        <v>20</v>
      </c>
      <c r="H94" s="8">
        <f>ROUND(Table1[[#This Row],[Monthly Salary]]/30*Table1[[#This Row],[Days Worked]],0)</f>
        <v>23333</v>
      </c>
      <c r="I94" s="8">
        <f>IF(AND(Table1[[#This Row],[Monthly Salary]]&gt;18000,Table1[[#This Row],[Days Worked]]&gt;25),ROUND(Table1[[#This Row],[ACTUAL SALARY]]*5%,0),0)</f>
        <v>0</v>
      </c>
      <c r="J94" s="8">
        <f>ROUND(Table1[[#This Row],[ACTUAL SALARY]]+Table1[[#This Row],[BONUS]],0)</f>
        <v>23333</v>
      </c>
    </row>
    <row r="95" spans="2:10">
      <c r="B95" s="6">
        <v>93</v>
      </c>
      <c r="C95" s="12" t="s">
        <v>106</v>
      </c>
      <c r="D95" s="8" t="s">
        <v>17</v>
      </c>
      <c r="E95" s="7" t="s">
        <v>18</v>
      </c>
      <c r="F95" s="9">
        <f t="shared" si="1"/>
        <v>18000</v>
      </c>
      <c r="G95" s="13">
        <v>25</v>
      </c>
      <c r="H95" s="8">
        <f>ROUND(Table1[[#This Row],[Monthly Salary]]/30*Table1[[#This Row],[Days Worked]],0)</f>
        <v>15000</v>
      </c>
      <c r="I95" s="8">
        <f>IF(AND(Table1[[#This Row],[Monthly Salary]]&gt;18000,Table1[[#This Row],[Days Worked]]&gt;25),ROUND(Table1[[#This Row],[ACTUAL SALARY]]*5%,0),0)</f>
        <v>0</v>
      </c>
      <c r="J95" s="8">
        <f>ROUND(Table1[[#This Row],[ACTUAL SALARY]]+Table1[[#This Row],[BONUS]],0)</f>
        <v>15000</v>
      </c>
    </row>
    <row r="96" spans="2:10">
      <c r="B96" s="6">
        <v>94</v>
      </c>
      <c r="C96" s="12" t="s">
        <v>107</v>
      </c>
      <c r="D96" s="8" t="s">
        <v>10</v>
      </c>
      <c r="E96" s="7" t="s">
        <v>20</v>
      </c>
      <c r="F96" s="9">
        <f t="shared" si="1"/>
        <v>25000</v>
      </c>
      <c r="G96" s="13">
        <v>21</v>
      </c>
      <c r="H96" s="8">
        <f>ROUND(Table1[[#This Row],[Monthly Salary]]/30*Table1[[#This Row],[Days Worked]],0)</f>
        <v>17500</v>
      </c>
      <c r="I96" s="8">
        <f>IF(AND(Table1[[#This Row],[Monthly Salary]]&gt;18000,Table1[[#This Row],[Days Worked]]&gt;25),ROUND(Table1[[#This Row],[ACTUAL SALARY]]*5%,0),0)</f>
        <v>0</v>
      </c>
      <c r="J96" s="8">
        <f>ROUND(Table1[[#This Row],[ACTUAL SALARY]]+Table1[[#This Row],[BONUS]],0)</f>
        <v>17500</v>
      </c>
    </row>
    <row r="97" spans="2:10">
      <c r="B97" s="6">
        <v>95</v>
      </c>
      <c r="C97" s="12" t="s">
        <v>108</v>
      </c>
      <c r="D97" s="8" t="s">
        <v>14</v>
      </c>
      <c r="E97" s="7" t="s">
        <v>22</v>
      </c>
      <c r="F97" s="9">
        <f t="shared" si="1"/>
        <v>35000</v>
      </c>
      <c r="G97" s="13">
        <v>23</v>
      </c>
      <c r="H97" s="8">
        <f>ROUND(Table1[[#This Row],[Monthly Salary]]/30*Table1[[#This Row],[Days Worked]],0)</f>
        <v>26833</v>
      </c>
      <c r="I97" s="8">
        <f>IF(AND(Table1[[#This Row],[Monthly Salary]]&gt;18000,Table1[[#This Row],[Days Worked]]&gt;25),ROUND(Table1[[#This Row],[ACTUAL SALARY]]*5%,0),0)</f>
        <v>0</v>
      </c>
      <c r="J97" s="8">
        <f>ROUND(Table1[[#This Row],[ACTUAL SALARY]]+Table1[[#This Row],[BONUS]],0)</f>
        <v>26833</v>
      </c>
    </row>
    <row r="98" spans="2:10">
      <c r="B98" s="6">
        <v>96</v>
      </c>
      <c r="C98" s="12" t="s">
        <v>109</v>
      </c>
      <c r="D98" s="8" t="s">
        <v>17</v>
      </c>
      <c r="E98" s="7" t="s">
        <v>24</v>
      </c>
      <c r="F98" s="9">
        <f t="shared" si="1"/>
        <v>18000</v>
      </c>
      <c r="G98" s="13">
        <v>20</v>
      </c>
      <c r="H98" s="8">
        <f>ROUND(Table1[[#This Row],[Monthly Salary]]/30*Table1[[#This Row],[Days Worked]],0)</f>
        <v>12000</v>
      </c>
      <c r="I98" s="8">
        <f>IF(AND(Table1[[#This Row],[Monthly Salary]]&gt;18000,Table1[[#This Row],[Days Worked]]&gt;25),ROUND(Table1[[#This Row],[ACTUAL SALARY]]*5%,0),0)</f>
        <v>0</v>
      </c>
      <c r="J98" s="8">
        <f>ROUND(Table1[[#This Row],[ACTUAL SALARY]]+Table1[[#This Row],[BONUS]],0)</f>
        <v>12000</v>
      </c>
    </row>
    <row r="99" spans="2:10">
      <c r="B99" s="6">
        <v>97</v>
      </c>
      <c r="C99" s="12" t="s">
        <v>110</v>
      </c>
      <c r="D99" s="8" t="s">
        <v>10</v>
      </c>
      <c r="E99" s="7" t="s">
        <v>11</v>
      </c>
      <c r="F99" s="9">
        <f t="shared" si="1"/>
        <v>25000</v>
      </c>
      <c r="G99" s="13">
        <v>25</v>
      </c>
      <c r="H99" s="8">
        <f>ROUND(Table1[[#This Row],[Monthly Salary]]/30*Table1[[#This Row],[Days Worked]],0)</f>
        <v>20833</v>
      </c>
      <c r="I99" s="8">
        <f>IF(AND(Table1[[#This Row],[Monthly Salary]]&gt;18000,Table1[[#This Row],[Days Worked]]&gt;25),ROUND(Table1[[#This Row],[ACTUAL SALARY]]*5%,0),0)</f>
        <v>0</v>
      </c>
      <c r="J99" s="8">
        <f>ROUND(Table1[[#This Row],[ACTUAL SALARY]]+Table1[[#This Row],[BONUS]],0)</f>
        <v>20833</v>
      </c>
    </row>
    <row r="100" spans="2:10">
      <c r="B100" s="6">
        <v>98</v>
      </c>
      <c r="C100" s="12" t="s">
        <v>111</v>
      </c>
      <c r="D100" s="8" t="s">
        <v>14</v>
      </c>
      <c r="E100" s="7" t="s">
        <v>15</v>
      </c>
      <c r="F100" s="9">
        <f t="shared" si="1"/>
        <v>35000</v>
      </c>
      <c r="G100" s="13">
        <v>28</v>
      </c>
      <c r="H100" s="8">
        <f>ROUND(Table1[[#This Row],[Monthly Salary]]/30*Table1[[#This Row],[Days Worked]],0)</f>
        <v>32667</v>
      </c>
      <c r="I100" s="8">
        <f>IF(AND(Table1[[#This Row],[Monthly Salary]]&gt;18000,Table1[[#This Row],[Days Worked]]&gt;25),ROUND(Table1[[#This Row],[ACTUAL SALARY]]*5%,0),0)</f>
        <v>1633</v>
      </c>
      <c r="J100" s="8">
        <f>ROUND(Table1[[#This Row],[ACTUAL SALARY]]+Table1[[#This Row],[BONUS]],0)</f>
        <v>34300</v>
      </c>
    </row>
    <row r="101" spans="2:10">
      <c r="B101" s="6">
        <v>99</v>
      </c>
      <c r="C101" s="12" t="s">
        <v>112</v>
      </c>
      <c r="D101" s="8" t="s">
        <v>17</v>
      </c>
      <c r="E101" s="7" t="s">
        <v>28</v>
      </c>
      <c r="F101" s="9">
        <f t="shared" si="1"/>
        <v>18000</v>
      </c>
      <c r="G101" s="13">
        <v>24</v>
      </c>
      <c r="H101" s="8">
        <f>ROUND(Table1[[#This Row],[Monthly Salary]]/30*Table1[[#This Row],[Days Worked]],0)</f>
        <v>14400</v>
      </c>
      <c r="I101" s="8">
        <f>IF(AND(Table1[[#This Row],[Monthly Salary]]&gt;18000,Table1[[#This Row],[Days Worked]]&gt;25),ROUND(Table1[[#This Row],[ACTUAL SALARY]]*5%,0),0)</f>
        <v>0</v>
      </c>
      <c r="J101" s="8">
        <f>ROUND(Table1[[#This Row],[ACTUAL SALARY]]+Table1[[#This Row],[BONUS]],0)</f>
        <v>14400</v>
      </c>
    </row>
    <row r="102" spans="2:10">
      <c r="B102" s="6">
        <v>100</v>
      </c>
      <c r="C102" s="13" t="s">
        <v>113</v>
      </c>
      <c r="D102" s="8" t="s">
        <v>10</v>
      </c>
      <c r="E102" s="7" t="s">
        <v>11</v>
      </c>
      <c r="F102" s="9">
        <f t="shared" si="1"/>
        <v>25000</v>
      </c>
      <c r="G102" s="13">
        <v>30</v>
      </c>
      <c r="H102" s="1">
        <f>ROUND(Table1[[#This Row],[Monthly Salary]]/30*Table1[[#This Row],[Days Worked]],0)</f>
        <v>25000</v>
      </c>
      <c r="I102" s="8">
        <f>IF(AND(Table1[[#This Row],[Monthly Salary]]&gt;18000,Table1[[#This Row],[Days Worked]]&gt;25),ROUND(Table1[[#This Row],[ACTUAL SALARY]]*5%,0),0)</f>
        <v>1250</v>
      </c>
      <c r="J102" s="1">
        <f>ROUND(Table1[[#This Row],[ACTUAL SALARY]]+Table1[[#This Row],[BONUS]],0)</f>
        <v>26250</v>
      </c>
    </row>
    <row r="103" spans="2:10">
      <c r="G103"/>
    </row>
    <row r="104" spans="2:10">
      <c r="G104"/>
    </row>
    <row r="105" spans="2:10">
      <c r="G105"/>
    </row>
    <row r="106" spans="2:10">
      <c r="G106"/>
    </row>
    <row r="107" spans="2:10">
      <c r="G107"/>
    </row>
    <row r="108" spans="2:10">
      <c r="G108"/>
    </row>
    <row r="109" spans="2:10">
      <c r="G109"/>
    </row>
    <row r="110" spans="2:10">
      <c r="G110"/>
    </row>
    <row r="111" spans="2:10">
      <c r="G111"/>
    </row>
    <row r="112" spans="2:10">
      <c r="G112"/>
    </row>
    <row r="113" spans="7:7">
      <c r="G113"/>
    </row>
    <row r="114" spans="7:7">
      <c r="G114"/>
    </row>
    <row r="115" spans="7:7">
      <c r="G115"/>
    </row>
    <row r="116" spans="7:7">
      <c r="G116"/>
    </row>
    <row r="117" spans="7:7">
      <c r="G117"/>
    </row>
    <row r="118" spans="7:7">
      <c r="G118"/>
    </row>
  </sheetData>
  <mergeCells count="1">
    <mergeCell ref="K20:M20"/>
  </mergeCells>
  <conditionalFormatting sqref="H3:H95">
    <cfRule type="expression" dxfId="19" priority="3">
      <formula>$M$37=$H10</formula>
    </cfRule>
    <cfRule type="expression" dxfId="19" priority="4">
      <formula>$H3=$M$37</formula>
    </cfRule>
    <cfRule type="expression" dxfId="20" priority="6">
      <formula>$M$37=$H3</formula>
    </cfRule>
  </conditionalFormatting>
  <conditionalFormatting sqref="H3:H102">
    <cfRule type="expression" dxfId="19" priority="1">
      <formula>$L$40=$C3</formula>
    </cfRule>
    <cfRule type="expression" dxfId="19" priority="2">
      <formula>$H3=$M$39</formula>
    </cfRule>
  </conditionalFormatting>
  <conditionalFormatting sqref="B2:J4 C5:J95 B5:B102 C96:G102 I96:J102">
    <cfRule type="expression" dxfId="21" priority="9">
      <formula>$M$31=B$2</formula>
    </cfRule>
  </conditionalFormatting>
  <conditionalFormatting sqref="B3:J4 C5:J95 B5:B102 C96:G102 I96:J102">
    <cfRule type="expression" dxfId="22" priority="5">
      <formula>$B3=$M$34</formula>
    </cfRule>
  </conditionalFormatting>
  <dataValidations count="5">
    <dataValidation type="list" allowBlank="1" showInputMessage="1" showErrorMessage="1" sqref="N12 M34">
      <formula1>$B$3:$B$102</formula1>
    </dataValidation>
    <dataValidation type="list" allowBlank="1" showInputMessage="1" showErrorMessage="1" sqref="M31">
      <formula1>$B$2:$J$2</formula1>
    </dataValidation>
    <dataValidation type="list" allowBlank="1" showInputMessage="1" showErrorMessage="1" sqref="M38 L40">
      <formula1>$C$3:$C$102</formula1>
    </dataValidation>
    <dataValidation type="list" allowBlank="1" showInputMessage="1" showErrorMessage="1" sqref="D3:D102">
      <formula1>$K$21:$M$21</formula1>
    </dataValidation>
    <dataValidation type="list" allowBlank="1" showInputMessage="1" showErrorMessage="1" sqref="E3:E102">
      <formula1>INDIRECT($D3)</formula1>
    </dataValidation>
  </dataValidations>
  <pageMargins left="0.7" right="0.7" top="0.75" bottom="0.75" header="0.3" footer="0.3"/>
  <pageSetup paperSize="1" orientation="portrait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Automated Employee Management 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SAMINA FATIMA</dc:creator>
  <cp:lastModifiedBy>Samina Fatima</cp:lastModifiedBy>
  <dcterms:created xsi:type="dcterms:W3CDTF">2026-01-13T04:38:00Z</dcterms:created>
  <dcterms:modified xsi:type="dcterms:W3CDTF">2026-07-23T08:53:55Z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21FF5F4F6D4C4AF791A146D69E81E318_13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